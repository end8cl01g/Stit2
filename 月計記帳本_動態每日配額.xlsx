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table+xml" PartName="/xl/tables/table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月度總覽" sheetId="1" r:id="rId4"/>
    <sheet state="visible" name="收支明細" sheetId="2" r:id="rId5"/>
    <sheet state="visible" name="固定支出" sheetId="3" r:id="rId6"/>
    <sheet state="visible" name="每日順向結果" sheetId="4" r:id="rId7"/>
    <sheet state="visible" name="選單設定" sheetId="5" r:id="rId8"/>
    <sheet state="visible" name="使用說明" sheetId="6" r:id="rId9"/>
  </sheets>
  <definedNames>
    <definedName name="類別清單">'選單設定'!$A$2:$A$50</definedName>
    <definedName name="付款方式清單">'選單設定'!$B$2:$B$50</definedName>
    <definedName name="薪資計入清單">'選單設定'!$E$2:$E$4</definedName>
    <definedName name="收支類型清單">'選單設定'!$C$2:$C$3</definedName>
    <definedName name="是否清單">'選單設定'!$D$2:$D$3</definedName>
    <definedName hidden="1" localSheetId="0" name="_xlnm._FilterDatabase">'月度總覽'!$A$4:$C$11</definedName>
    <definedName hidden="1" localSheetId="1" name="_xlnm._FilterDatabase">'收支明細'!$A$3:$G$303</definedName>
    <definedName hidden="1" localSheetId="3" name="_xlnm._FilterDatabase">'每日順向結果'!$A$4:$J$370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自訂計算週期的第一天</t>
      </text>
    </comment>
    <comment authorId="0" ref="B6">
      <text>
        <t xml:space="preserve">自訂計算週期的最後一天</t>
      </text>
    </comment>
    <comment authorId="0" ref="B7">
      <text>
        <t xml:space="preserve">預設今天；可覆寫為任何日期做情境試算</t>
      </text>
    </comment>
    <comment authorId="0" ref="B8">
      <text>
        <t xml:space="preserve">輸入完整日期</t>
      </text>
    </comment>
    <comment authorId="0" ref="B9">
      <text>
        <t xml:space="preserve">請勿在收支明細重複登記同一筆薪資</t>
      </text>
    </comment>
    <comment authorId="0" ref="B10">
      <text>
        <t xml:space="preserve">到帳日計入／全期計入／不計入</t>
      </text>
    </comment>
    <comment authorId="0" ref="B11">
      <text>
        <t xml:space="preserve">週期開始時可動用的餘額</t>
      </text>
    </comment>
  </commentList>
</comments>
</file>

<file path=xl/sharedStrings.xml><?xml version="1.0" encoding="utf-8"?>
<sst xmlns="http://schemas.openxmlformats.org/spreadsheetml/2006/main" count="116" uniqueCount="107">
  <si>
    <t>月計記帳本｜動態每日配額</t>
  </si>
  <si>
    <t>先輸入黃色欄位 → 登記固定支出與日常收支 → 查看動態配額與每日順向結果</t>
  </si>
  <si>
    <t>① 週期與資金設定</t>
  </si>
  <si>
    <t>② 即時計算結果</t>
  </si>
  <si>
    <t>週期開始日</t>
  </si>
  <si>
    <t>自訂計算週期的第一天</t>
  </si>
  <si>
    <t>週期天數</t>
  </si>
  <si>
    <t>週期結束日</t>
  </si>
  <si>
    <t>自訂計算週期的最後一天</t>
  </si>
  <si>
    <t>配額起算日</t>
  </si>
  <si>
    <t>配額計算基準日</t>
  </si>
  <si>
    <t>預設今天；可覆寫為任何日期做情境試算</t>
  </si>
  <si>
    <t>剩餘天數（含基準日）</t>
  </si>
  <si>
    <t>自訂發薪日</t>
  </si>
  <si>
    <t>輸入完整日期</t>
  </si>
  <si>
    <t>已計入薪資</t>
  </si>
  <si>
    <t>薪資金額</t>
  </si>
  <si>
    <t>請勿在收支明細重複登記同一筆薪資</t>
  </si>
  <si>
    <t>其他收入（截至基準日）</t>
  </si>
  <si>
    <t>薪資計入方式</t>
  </si>
  <si>
    <t>到帳日自動計入</t>
  </si>
  <si>
    <t>到帳日計入／全期計入／不計入</t>
  </si>
  <si>
    <t>實際支出（截至基準日）</t>
  </si>
  <si>
    <t>期初可用餘額</t>
  </si>
  <si>
    <t>週期開始時可動用的餘額</t>
  </si>
  <si>
    <t>未付固定支出預留</t>
  </si>
  <si>
    <t>剩餘可變動資金</t>
  </si>
  <si>
    <t>動態每天平均配額</t>
  </si>
  <si>
    <t>③ 順向結果摘要</t>
  </si>
  <si>
    <t>若由配額起算日起每天花足配額，週期末可變動資金</t>
  </si>
  <si>
    <t>尚未到帳且可能在本週期加入的薪資</t>
  </si>
  <si>
    <t>計入未來薪資後的週期末預測餘額</t>
  </si>
  <si>
    <t>提示：固定支出尚未付款時會先預留；付款後請在「收支明細」登記支出，並在「固定支出」把已付款改為『是』，避免重複扣減。</t>
  </si>
  <si>
    <t>收支明細｜只填一行一筆</t>
  </si>
  <si>
    <t>日期</t>
  </si>
  <si>
    <t>類型</t>
  </si>
  <si>
    <t>類別</t>
  </si>
  <si>
    <t>項目／說明</t>
  </si>
  <si>
    <t>金額</t>
  </si>
  <si>
    <t>付款方式</t>
  </si>
  <si>
    <t>備註</t>
  </si>
  <si>
    <t>固定支出｜設定扣款日期並追蹤付款</t>
  </si>
  <si>
    <t>固定支出名稱</t>
  </si>
  <si>
    <t>本期扣款日期</t>
  </si>
  <si>
    <t>已付款</t>
  </si>
  <si>
    <t>啟用</t>
  </si>
  <si>
    <t>每日順向結果｜由自訂起始日至結束日</t>
  </si>
  <si>
    <t>藍欄為事件／實績；紫欄為依目前動態配額推演的未來可變動資金（固定支出已在總覽先行預留）。</t>
  </si>
  <si>
    <t>星期</t>
  </si>
  <si>
    <t>狀態</t>
  </si>
  <si>
    <t>薪資事件</t>
  </si>
  <si>
    <t>其他收入</t>
  </si>
  <si>
    <t>固定支出到期</t>
  </si>
  <si>
    <t>實際支出</t>
  </si>
  <si>
    <t>建議可變支出</t>
  </si>
  <si>
    <t>當日實際淨額</t>
  </si>
  <si>
    <t>順向可變資金</t>
  </si>
  <si>
    <t>支出／收入類別</t>
  </si>
  <si>
    <t>收支類型</t>
  </si>
  <si>
    <t>是／否</t>
  </si>
  <si>
    <t>說明</t>
  </si>
  <si>
    <t>餐飲</t>
  </si>
  <si>
    <t>現金</t>
  </si>
  <si>
    <t>支出</t>
  </si>
  <si>
    <t>是</t>
  </si>
  <si>
    <t>可直接修改／新增 A、B 欄選項；下拉選單預留至第 50 列。</t>
  </si>
  <si>
    <t>交通</t>
  </si>
  <si>
    <t>信用卡</t>
  </si>
  <si>
    <t>收入</t>
  </si>
  <si>
    <t>否</t>
  </si>
  <si>
    <t>全期預先計入</t>
  </si>
  <si>
    <t>請勿刪除 C～E 欄的核心選項，否則公式判斷可能失效。</t>
  </si>
  <si>
    <t>居住</t>
  </si>
  <si>
    <t>扣帳卡</t>
  </si>
  <si>
    <t>不計入</t>
  </si>
  <si>
    <t>水電煤</t>
  </si>
  <si>
    <t>轉數快</t>
  </si>
  <si>
    <t>通訊</t>
  </si>
  <si>
    <t>銀行轉帳</t>
  </si>
  <si>
    <t>保險</t>
  </si>
  <si>
    <t>八達通</t>
  </si>
  <si>
    <t>醫療</t>
  </si>
  <si>
    <t>自動轉帳</t>
  </si>
  <si>
    <t>日用品</t>
  </si>
  <si>
    <t>其他</t>
  </si>
  <si>
    <t>娛樂</t>
  </si>
  <si>
    <t>教育</t>
  </si>
  <si>
    <t>投資</t>
  </si>
  <si>
    <t>薪資</t>
  </si>
  <si>
    <t>其他支出</t>
  </si>
  <si>
    <t>使用說明｜閉環操作流程</t>
  </si>
  <si>
    <t>1. 設定結果邊界</t>
  </si>
  <si>
    <t>在「月度總覽」黃色欄位輸入自訂開始日、結束日、配額基準日、發薪日、薪資、薪資計入方式與期初餘額。</t>
  </si>
  <si>
    <t>2. 預留固定支出</t>
  </si>
  <si>
    <t>在「固定支出」輸入本期完整扣款日期、金額；未付款且啟用的項目會先由可變動資金扣除。</t>
  </si>
  <si>
    <t>3. 記錄真實收支</t>
  </si>
  <si>
    <t>在「收支明細」逐筆登記。金額一律輸入正數，以『類型』區分收入或支出。薪資由總覽自動處理，勿重複登記。</t>
  </si>
  <si>
    <t>4. 完成固定支出閉環</t>
  </si>
  <si>
    <t>付款後：①在收支明細登記該筆支出；②在固定支出把『已付款』改為『是』。如此預留會被實支替代，不會重複扣款。</t>
  </si>
  <si>
    <t>5. 查看動態配額</t>
  </si>
  <si>
    <t>總覽以（期初餘額＋已計入薪資＋其他收入－實際支出－未付固定支出）÷剩餘天數，重算每天平均配額。負數時配額顯示 0。</t>
  </si>
  <si>
    <t>6. 查看順向結果</t>
  </si>
  <si>
    <t>「每日順向結果」逐日展示薪資、收入、固定支出、實支、建議支出與預測可變資金；基準日以黃色標示。</t>
  </si>
  <si>
    <t>7. 自訂下拉選單</t>
  </si>
  <si>
    <t>在「選單設定」修改類別和付款方式。新增項目可放到第 50 列；核心的收支類型、是／否、薪資計入方式不要刪除。</t>
  </si>
  <si>
    <t>公式口徑</t>
  </si>
  <si>
    <t>動態每日配額會依配額基準日變化。若選『到帳日自動計入』，未到帳薪資不會提前提高當日配額；到帳後會自動納入。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</si>
</sst>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HK$ #,##0.00;[Red]-HK$ #,##0.00"/>
    <numFmt numFmtId="166" formatCode="#,##0.00;[Red]-#,##0.00"/>
  </numFmts>
  <fonts count="13">
    <font>
      <sz val="11.0"/>
      <color/>
      <name val="Arial"/>
      <scheme val="minor"/>
    </font>
    <font>
      <b/>
      <sz val="20.0"/>
      <color rgb="FFFFFFFF"/>
    </font>
    <font/>
    <font>
      <i/>
      <color rgb="FF44546A"/>
    </font>
    <font>
      <b/>
      <color rgb="FFFFFFFF"/>
    </font>
    <font>
      <b/>
      <color rgb="FF17365D"/>
    </font>
    <font>
      <sz val="11.0"/>
      <color/>
      <name val="Calibri"/>
    </font>
    <font>
      <sz val="9.0"/>
      <color rgb="FF7F7F7F"/>
    </font>
    <font>
      <b/>
    </font>
    <font>
      <b/>
      <sz val="16.0"/>
      <color rgb="FF375623"/>
    </font>
    <font>
      <b/>
      <color rgb="FF7030A0"/>
    </font>
    <font>
      <b/>
      <sz val="18.0"/>
      <color rgb="FFFFFFFF"/>
    </font>
    <font>
      <b/>
      <sz val="12.0"/>
      <color rgb="FF17365D"/>
    </font>
  </fonts>
  <fills count="13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2F75B5"/>
        <bgColor rgb="FF2F75B5"/>
      </patternFill>
    </fill>
    <fill>
      <patternFill patternType="solid">
        <fgColor rgb="FF00A6A6"/>
        <bgColor rgb="FF00A6A6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2F0D9"/>
        <bgColor rgb="FFE2F0D9"/>
      </patternFill>
    </fill>
    <fill>
      <patternFill patternType="solid">
        <fgColor rgb="FF7030A0"/>
        <bgColor rgb="FF7030A0"/>
      </patternFill>
    </fill>
    <fill>
      <patternFill patternType="solid">
        <fgColor rgb="FFE4DFEC"/>
        <bgColor rgb="FFE4DFEC"/>
      </patternFill>
    </fill>
    <fill>
      <patternFill patternType="solid">
        <fgColor rgb="FFF4F0FA"/>
        <bgColor rgb="FFF4F0FA"/>
      </patternFill>
    </fill>
    <fill>
      <patternFill patternType="solid">
        <fgColor rgb="FFDBE5F1"/>
        <bgColor rgb="FFDBE5F1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</border>
    <border>
      <bottom style="hair">
        <color rgb="FFD9E2F3"/>
      </bottom>
    </border>
    <border>
      <bottom style="hair">
        <color rgb="FFDDEBF7"/>
      </bottom>
    </border>
    <border>
      <left style="thin">
        <color rgb="FFC9D2DC"/>
      </left>
      <top style="thin">
        <color rgb="FFC9D2DC"/>
      </top>
      <bottom style="thin">
        <color rgb="FFC9D2DC"/>
      </bottom>
    </border>
    <border>
      <top style="thin">
        <color rgb="FFC9D2DC"/>
      </top>
      <bottom style="thin">
        <color rgb="FFC9D2DC"/>
      </bottom>
    </border>
    <border>
      <right style="thin">
        <color rgb="FFC9D2DC"/>
      </right>
      <top style="thin">
        <color rgb="FFC9D2DC"/>
      </top>
      <bottom style="thin">
        <color rgb="FFC9D2DC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Border="1" applyFill="1" applyFont="1"/>
    <xf borderId="4" fillId="4" fontId="4" numFmtId="0" xfId="0" applyBorder="1" applyFill="1" applyFont="1"/>
    <xf borderId="4" fillId="5" fontId="5" numFmtId="0" xfId="0" applyBorder="1" applyFill="1" applyFont="1"/>
    <xf borderId="5" fillId="6" fontId="6" numFmtId="164" xfId="0" applyAlignment="1" applyBorder="1" applyFill="1" applyFont="1" applyNumberFormat="1">
      <alignment readingOrder="0"/>
    </xf>
    <xf borderId="0" fillId="0" fontId="7" numFmtId="0" xfId="0" applyFont="1"/>
    <xf borderId="4" fillId="7" fontId="8" numFmtId="0" xfId="0" applyBorder="1" applyFill="1" applyFont="1"/>
    <xf borderId="5" fillId="0" fontId="5" numFmtId="0" xfId="0" applyBorder="1" applyFont="1"/>
    <xf borderId="5" fillId="0" fontId="5" numFmtId="164" xfId="0" applyBorder="1" applyFont="1" applyNumberFormat="1"/>
    <xf borderId="5" fillId="6" fontId="6" numFmtId="164" xfId="0" applyBorder="1" applyFont="1" applyNumberFormat="1"/>
    <xf borderId="5" fillId="0" fontId="5" numFmtId="165" xfId="0" applyBorder="1" applyFont="1" applyNumberFormat="1"/>
    <xf borderId="5" fillId="6" fontId="6" numFmtId="166" xfId="0" applyAlignment="1" applyBorder="1" applyFont="1" applyNumberFormat="1">
      <alignment readingOrder="0"/>
    </xf>
    <xf borderId="5" fillId="6" fontId="6" numFmtId="0" xfId="0" applyBorder="1" applyFont="1"/>
    <xf borderId="5" fillId="6" fontId="6" numFmtId="166" xfId="0" applyBorder="1" applyFont="1" applyNumberFormat="1"/>
    <xf borderId="4" fillId="8" fontId="8" numFmtId="0" xfId="0" applyBorder="1" applyFill="1" applyFont="1"/>
    <xf borderId="5" fillId="8" fontId="9" numFmtId="165" xfId="0" applyBorder="1" applyFont="1" applyNumberFormat="1"/>
    <xf borderId="4" fillId="9" fontId="4" numFmtId="0" xfId="0" applyBorder="1" applyFill="1" applyFont="1"/>
    <xf borderId="1" fillId="10" fontId="8" numFmtId="0" xfId="0" applyBorder="1" applyFill="1" applyFont="1"/>
    <xf borderId="1" fillId="11" fontId="10" numFmtId="165" xfId="0" applyBorder="1" applyFill="1" applyFont="1" applyNumberFormat="1"/>
    <xf borderId="1" fillId="6" fontId="6" numFmtId="0" xfId="0" applyAlignment="1" applyBorder="1" applyFont="1">
      <alignment shrinkToFit="0" wrapText="1"/>
    </xf>
    <xf borderId="1" fillId="2" fontId="11" numFmtId="0" xfId="0" applyBorder="1" applyFont="1"/>
    <xf borderId="4" fillId="0" fontId="4" numFmtId="0" xfId="0" applyAlignment="1" applyBorder="1" applyFont="1">
      <alignment horizontal="center"/>
    </xf>
    <xf borderId="6" fillId="12" fontId="6" numFmtId="164" xfId="0" applyBorder="1" applyFill="1" applyFont="1" applyNumberFormat="1"/>
    <xf borderId="6" fillId="12" fontId="6" numFmtId="0" xfId="0" applyBorder="1" applyFont="1"/>
    <xf borderId="6" fillId="12" fontId="6" numFmtId="166" xfId="0" applyBorder="1" applyFont="1" applyNumberFormat="1"/>
    <xf borderId="6" fillId="0" fontId="6" numFmtId="164" xfId="0" applyBorder="1" applyFont="1" applyNumberFormat="1"/>
    <xf borderId="6" fillId="0" fontId="6" numFmtId="0" xfId="0" applyBorder="1" applyFont="1"/>
    <xf borderId="6" fillId="0" fontId="6" numFmtId="166" xfId="0" applyBorder="1" applyFont="1" applyNumberFormat="1"/>
    <xf borderId="0" fillId="0" fontId="2" numFmtId="0" xfId="0" applyFont="1"/>
    <xf borderId="0" fillId="12" fontId="2" numFmtId="0" xfId="0" applyFont="1"/>
    <xf borderId="4" fillId="4" fontId="4" numFmtId="0" xfId="0" applyAlignment="1" applyBorder="1" applyFont="1">
      <alignment horizontal="center"/>
    </xf>
    <xf borderId="7" fillId="0" fontId="6" numFmtId="0" xfId="0" applyBorder="1" applyFont="1"/>
    <xf borderId="7" fillId="0" fontId="6" numFmtId="166" xfId="0" applyBorder="1" applyFont="1" applyNumberFormat="1"/>
    <xf borderId="7" fillId="0" fontId="6" numFmtId="164" xfId="0" applyBorder="1" applyFont="1" applyNumberFormat="1"/>
    <xf borderId="4" fillId="9" fontId="4" numFmtId="0" xfId="0" applyAlignment="1" applyBorder="1" applyFont="1">
      <alignment horizontal="center" shrinkToFit="0" wrapText="1"/>
    </xf>
    <xf borderId="0" fillId="0" fontId="6" numFmtId="164" xfId="0" applyFont="1" applyNumberFormat="1"/>
    <xf borderId="0" fillId="0" fontId="6" numFmtId="166" xfId="0" applyFont="1" applyNumberFormat="1"/>
    <xf borderId="4" fillId="2" fontId="4" numFmtId="0" xfId="0" applyBorder="1" applyFont="1"/>
    <xf borderId="1" fillId="2" fontId="1" numFmtId="0" xfId="0" applyBorder="1" applyFont="1"/>
    <xf borderId="4" fillId="5" fontId="12" numFmtId="0" xfId="0" applyBorder="1" applyFont="1"/>
    <xf borderId="8" fillId="0" fontId="6" numFmtId="0" xfId="0" applyAlignment="1" applyBorder="1" applyFont="1">
      <alignment shrinkToFit="0" vertical="top" wrapText="1"/>
    </xf>
    <xf borderId="9" fillId="0" fontId="2" numFmtId="0" xfId="0" applyBorder="1" applyFont="1"/>
    <xf borderId="10" fillId="0" fontId="2" numFmtId="0" xfId="0" applyBorder="1" applyFont="1"/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7"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1">
    <tableStyle count="3" pivot="0" name="固定支出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順向可變資金趨勢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'每日順向結果'!$J$4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'每日順向結果'!$A$5:$A$40</c:f>
            </c:strRef>
          </c:cat>
          <c:val>
            <c:numRef>
              <c:f>'每日順向結果'!$J$5:$J$40</c:f>
              <c:numCache/>
            </c:numRef>
          </c:val>
          <c:smooth val="0"/>
        </c:ser>
        <c:axId val="1182133411"/>
        <c:axId val="220648286"/>
      </c:lineChart>
      <c:catAx>
        <c:axId val="11821334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日期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0648286"/>
      </c:catAx>
      <c:valAx>
        <c:axId val="2206482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HK$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2133411"/>
      </c:valAx>
    </c:plotArea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3</xdr:row>
      <xdr:rowOff>0</xdr:rowOff>
    </xdr:from>
    <xdr:ext cx="5038725" cy="25146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H103" displayName="Table_1" name="Table_1" id="1">
  <tableColumns count="8">
    <tableColumn name="固定支出名稱" id="1"/>
    <tableColumn name="類別" id="2"/>
    <tableColumn name="金額" id="3"/>
    <tableColumn name="本期扣款日期" id="4"/>
    <tableColumn name="付款方式" id="5"/>
    <tableColumn name="已付款" id="6"/>
    <tableColumn name="啟用" id="7"/>
    <tableColumn name="備註" id="8"/>
  </tableColumns>
  <tableStyleInfo name="固定支出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1.0"/>
    <col customWidth="1" min="2" max="2" width="15.75"/>
    <col customWidth="1" min="3" max="3" width="40.25"/>
    <col customWidth="1" min="4" max="4" width="2.63"/>
    <col customWidth="1" min="5" max="5" width="24.5"/>
    <col customWidth="1" min="6" max="6" width="17.5"/>
    <col customWidth="1" min="7" max="11" width="7.63"/>
  </cols>
  <sheetData>
    <row r="1" ht="33.75" customHeight="1">
      <c r="A1" s="1" t="s">
        <v>0</v>
      </c>
      <c r="B1" s="2"/>
      <c r="C1" s="2"/>
      <c r="D1" s="2"/>
      <c r="E1" s="2"/>
      <c r="F1" s="3"/>
    </row>
    <row r="2">
      <c r="A2" s="4" t="s">
        <v>1</v>
      </c>
    </row>
    <row r="4">
      <c r="A4" s="5" t="s">
        <v>2</v>
      </c>
      <c r="E4" s="6" t="s">
        <v>3</v>
      </c>
    </row>
    <row r="5">
      <c r="A5" s="7" t="s">
        <v>4</v>
      </c>
      <c r="B5" s="8">
        <v>46231.0</v>
      </c>
      <c r="C5" s="9" t="s">
        <v>5</v>
      </c>
      <c r="E5" s="10" t="s">
        <v>6</v>
      </c>
      <c r="F5" s="11" t="str">
        <f>IF(OR(B5="",B6="",B6&lt;B5),0,B6-B5+1)</f>
        <v>11</v>
      </c>
    </row>
    <row r="6">
      <c r="A6" s="7" t="s">
        <v>7</v>
      </c>
      <c r="B6" s="8">
        <v>46241.0</v>
      </c>
      <c r="C6" s="9" t="s">
        <v>8</v>
      </c>
      <c r="E6" s="10" t="s">
        <v>9</v>
      </c>
      <c r="F6" s="12" t="str">
        <f>IF(F5=0,"",MAX(B5,MIN(B7,B6)))</f>
        <v>2026-07-28</v>
      </c>
    </row>
    <row r="7">
      <c r="A7" s="7" t="s">
        <v>10</v>
      </c>
      <c r="B7" s="13" t="str">
        <f>TODAY()</f>
        <v>2026-07-28</v>
      </c>
      <c r="C7" s="9" t="s">
        <v>11</v>
      </c>
      <c r="E7" s="10" t="s">
        <v>12</v>
      </c>
      <c r="F7" s="11" t="str">
        <f>IF(F5=0,0,MAX(0,B6-F6+1))</f>
        <v>11</v>
      </c>
    </row>
    <row r="8">
      <c r="A8" s="7" t="s">
        <v>13</v>
      </c>
      <c r="B8" s="8">
        <v>46241.0</v>
      </c>
      <c r="C8" s="9" t="s">
        <v>14</v>
      </c>
      <c r="E8" s="10" t="s">
        <v>15</v>
      </c>
      <c r="F8" s="14" t="str">
        <f>IF(AND(B8&gt;=B5,B8&lt;=B6),IF(B10="全期預先計入",B9,IF(B10="到帳日自動計入",IF(B8&lt;=B7,B9,0),0)),0)</f>
        <v>#VALUE!</v>
      </c>
    </row>
    <row r="9">
      <c r="A9" s="7" t="s">
        <v>16</v>
      </c>
      <c r="B9" s="15">
        <v>22500.0</v>
      </c>
      <c r="C9" s="9" t="s">
        <v>17</v>
      </c>
      <c r="E9" s="10" t="s">
        <v>18</v>
      </c>
      <c r="F9" s="14" t="str">
        <f>SUMIFS('收支明細'!$E:$E,'收支明細'!$B:$B,"收入",'收支明細'!$A:$A,"&gt;="&amp;B5,'收支明細'!$A:$A,"&lt;="&amp;MIN(B7,B6))</f>
        <v>#VALUE!</v>
      </c>
    </row>
    <row r="10">
      <c r="A10" s="7" t="s">
        <v>19</v>
      </c>
      <c r="B10" s="16" t="s">
        <v>20</v>
      </c>
      <c r="C10" s="9" t="s">
        <v>21</v>
      </c>
      <c r="E10" s="10" t="s">
        <v>22</v>
      </c>
      <c r="F10" s="14" t="str">
        <f>SUMIFS('收支明細'!$E:$E,'收支明細'!$B:$B,"支出",'收支明細'!$A:$A,"&gt;="&amp;B5,'收支明細'!$A:$A,"&lt;="&amp;MIN(B7,B6))</f>
        <v>#VALUE!</v>
      </c>
    </row>
    <row r="11">
      <c r="A11" s="7" t="s">
        <v>23</v>
      </c>
      <c r="B11" s="17">
        <v>10000.0</v>
      </c>
      <c r="C11" s="9" t="s">
        <v>24</v>
      </c>
      <c r="E11" s="10" t="s">
        <v>25</v>
      </c>
      <c r="F11" s="14" t="str">
        <f>SUMIFS('固定支出'!$C:$C,'固定支出'!$G:$G,"是",'固定支出'!$F:$F,"否",'固定支出'!$D:$D,"&gt;="&amp;B5,'固定支出'!$D:$D,"&lt;="&amp;B6)</f>
        <v>#VALUE!</v>
      </c>
    </row>
    <row r="12">
      <c r="E12" s="10" t="s">
        <v>26</v>
      </c>
      <c r="F12" s="14" t="str">
        <f>B11+F8+F9-F10-F11</f>
        <v>#VALUE!</v>
      </c>
    </row>
    <row r="13">
      <c r="E13" s="18" t="s">
        <v>27</v>
      </c>
      <c r="F13" s="19" t="str">
        <f>IF(F7=0,0,MAX(0,F12/F7))</f>
        <v>#VALUE!</v>
      </c>
    </row>
    <row r="14">
      <c r="A14" s="20" t="s">
        <v>28</v>
      </c>
    </row>
    <row r="15">
      <c r="A15" s="21" t="s">
        <v>29</v>
      </c>
      <c r="B15" s="2"/>
      <c r="C15" s="2"/>
      <c r="D15" s="3"/>
      <c r="E15" s="22" t="str">
        <f>F12-(F13*F7)</f>
        <v>#VALUE!</v>
      </c>
      <c r="F15" s="3"/>
    </row>
    <row r="16">
      <c r="A16" s="21" t="s">
        <v>30</v>
      </c>
      <c r="B16" s="2"/>
      <c r="C16" s="2"/>
      <c r="D16" s="3"/>
      <c r="E16" s="22" t="str">
        <f>IF(AND(B10="到帳日自動計入",B8&gt;B7,B8&lt;=B6),B9,0)</f>
        <v>#VALUE!</v>
      </c>
      <c r="F16" s="3"/>
    </row>
    <row r="17">
      <c r="A17" s="21" t="s">
        <v>31</v>
      </c>
      <c r="B17" s="2"/>
      <c r="C17" s="2"/>
      <c r="D17" s="3"/>
      <c r="E17" s="22" t="str">
        <f>B15+B16</f>
        <v>#VALUE!</v>
      </c>
      <c r="F17" s="3"/>
    </row>
    <row r="20" ht="33.75" customHeight="1">
      <c r="A20" s="23" t="s">
        <v>32</v>
      </c>
      <c r="B20" s="2"/>
      <c r="C20" s="2"/>
      <c r="D20" s="2"/>
      <c r="E20" s="2"/>
      <c r="F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4:$C$11"/>
  <mergeCells count="9">
    <mergeCell ref="E16:F16"/>
    <mergeCell ref="E17:F17"/>
    <mergeCell ref="A17:D17"/>
    <mergeCell ref="E15:F15"/>
    <mergeCell ref="A20:F20"/>
    <mergeCell ref="A2:F2"/>
    <mergeCell ref="A15:D15"/>
    <mergeCell ref="A16:D16"/>
    <mergeCell ref="A1:F1"/>
  </mergeCells>
  <conditionalFormatting sqref="F12">
    <cfRule type="cellIs" dxfId="0" priority="1" operator="lessThan">
      <formula>0</formula>
    </cfRule>
  </conditionalFormatting>
  <printOptions/>
  <pageMargins bottom="1.0" footer="0.0" header="0.0" left="0.75" right="0.75" top="1.0"/>
  <pageSetup fitToHeight="0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2.25"/>
    <col customWidth="1" min="2" max="2" width="10.5"/>
    <col customWidth="1" min="3" max="3" width="14.0"/>
    <col customWidth="1" min="4" max="4" width="26.25"/>
    <col customWidth="1" min="5" max="6" width="14.0"/>
    <col customWidth="1" min="7" max="7" width="29.75"/>
    <col customWidth="1" min="8" max="11" width="7.63"/>
  </cols>
  <sheetData>
    <row r="1">
      <c r="A1" s="24" t="s">
        <v>33</v>
      </c>
      <c r="B1" s="2"/>
      <c r="C1" s="2"/>
      <c r="D1" s="2"/>
      <c r="E1" s="2"/>
      <c r="F1" s="2"/>
      <c r="G1" s="3"/>
    </row>
    <row r="3">
      <c r="A3" s="25" t="s">
        <v>34</v>
      </c>
      <c r="B3" s="25" t="s">
        <v>35</v>
      </c>
      <c r="C3" s="25" t="s">
        <v>36</v>
      </c>
      <c r="D3" s="25" t="s">
        <v>37</v>
      </c>
      <c r="E3" s="25" t="s">
        <v>38</v>
      </c>
      <c r="F3" s="25" t="s">
        <v>39</v>
      </c>
      <c r="G3" s="25" t="s">
        <v>40</v>
      </c>
    </row>
    <row r="4">
      <c r="A4" s="26"/>
      <c r="B4" s="27"/>
      <c r="C4" s="27"/>
      <c r="D4" s="27"/>
      <c r="E4" s="28"/>
      <c r="F4" s="27"/>
      <c r="G4" s="27"/>
    </row>
    <row r="5">
      <c r="A5" s="29"/>
      <c r="B5" s="30"/>
      <c r="C5" s="30"/>
      <c r="D5" s="30"/>
      <c r="E5" s="31"/>
      <c r="F5" s="30"/>
      <c r="G5" s="30"/>
    </row>
    <row r="6">
      <c r="A6" s="26"/>
      <c r="B6" s="27"/>
      <c r="C6" s="27"/>
      <c r="D6" s="27"/>
      <c r="E6" s="28"/>
      <c r="F6" s="27"/>
      <c r="G6" s="27"/>
    </row>
    <row r="7">
      <c r="A7" s="29"/>
      <c r="B7" s="30"/>
      <c r="C7" s="30"/>
      <c r="D7" s="30"/>
      <c r="E7" s="31"/>
      <c r="F7" s="30"/>
      <c r="G7" s="30"/>
    </row>
    <row r="8">
      <c r="A8" s="26"/>
      <c r="B8" s="27"/>
      <c r="C8" s="27"/>
      <c r="D8" s="27"/>
      <c r="E8" s="28"/>
      <c r="F8" s="27"/>
      <c r="G8" s="27"/>
    </row>
    <row r="9">
      <c r="A9" s="29"/>
      <c r="B9" s="30"/>
      <c r="C9" s="30"/>
      <c r="D9" s="30"/>
      <c r="E9" s="31"/>
      <c r="F9" s="30"/>
      <c r="G9" s="30"/>
    </row>
    <row r="10">
      <c r="A10" s="26"/>
      <c r="B10" s="27"/>
      <c r="C10" s="27"/>
      <c r="D10" s="27"/>
      <c r="E10" s="28"/>
      <c r="F10" s="27"/>
      <c r="G10" s="27"/>
    </row>
    <row r="11">
      <c r="A11" s="29"/>
      <c r="B11" s="30"/>
      <c r="C11" s="30"/>
      <c r="D11" s="30"/>
      <c r="E11" s="31"/>
      <c r="F11" s="30"/>
      <c r="G11" s="30"/>
    </row>
    <row r="12">
      <c r="A12" s="26"/>
      <c r="B12" s="27"/>
      <c r="C12" s="27"/>
      <c r="D12" s="27"/>
      <c r="E12" s="28"/>
      <c r="F12" s="27"/>
      <c r="G12" s="27"/>
    </row>
    <row r="13">
      <c r="A13" s="29"/>
      <c r="B13" s="30"/>
      <c r="C13" s="30"/>
      <c r="D13" s="30"/>
      <c r="E13" s="31"/>
      <c r="F13" s="30"/>
      <c r="G13" s="30"/>
    </row>
    <row r="14">
      <c r="A14" s="26"/>
      <c r="B14" s="27"/>
      <c r="C14" s="27"/>
      <c r="D14" s="27"/>
      <c r="E14" s="28"/>
      <c r="F14" s="27"/>
      <c r="G14" s="27"/>
    </row>
    <row r="15">
      <c r="A15" s="29"/>
      <c r="B15" s="30"/>
      <c r="C15" s="30"/>
      <c r="D15" s="30"/>
      <c r="E15" s="31"/>
      <c r="F15" s="30"/>
      <c r="G15" s="30"/>
    </row>
    <row r="16">
      <c r="A16" s="26"/>
      <c r="B16" s="27"/>
      <c r="C16" s="27"/>
      <c r="D16" s="27"/>
      <c r="E16" s="28"/>
      <c r="F16" s="27"/>
      <c r="G16" s="27"/>
    </row>
    <row r="17">
      <c r="A17" s="29"/>
      <c r="B17" s="30"/>
      <c r="C17" s="30"/>
      <c r="D17" s="30"/>
      <c r="E17" s="31"/>
      <c r="F17" s="30"/>
      <c r="G17" s="30"/>
    </row>
    <row r="18">
      <c r="A18" s="26"/>
      <c r="B18" s="27"/>
      <c r="C18" s="27"/>
      <c r="D18" s="27"/>
      <c r="E18" s="28"/>
      <c r="F18" s="27"/>
      <c r="G18" s="27"/>
    </row>
    <row r="19">
      <c r="A19" s="29"/>
      <c r="B19" s="30"/>
      <c r="C19" s="30"/>
      <c r="D19" s="30"/>
      <c r="E19" s="31"/>
      <c r="F19" s="30"/>
      <c r="G19" s="30"/>
    </row>
    <row r="20">
      <c r="A20" s="26"/>
      <c r="B20" s="27"/>
      <c r="C20" s="27"/>
      <c r="D20" s="27"/>
      <c r="E20" s="28"/>
      <c r="F20" s="27"/>
      <c r="G20" s="27"/>
    </row>
    <row r="21" ht="15.75" customHeight="1">
      <c r="A21" s="29"/>
      <c r="B21" s="30"/>
      <c r="C21" s="30"/>
      <c r="D21" s="30"/>
      <c r="E21" s="31"/>
      <c r="F21" s="30"/>
      <c r="G21" s="30"/>
    </row>
    <row r="22" ht="15.75" customHeight="1">
      <c r="A22" s="26"/>
      <c r="B22" s="27"/>
      <c r="C22" s="27"/>
      <c r="D22" s="27"/>
      <c r="E22" s="28"/>
      <c r="F22" s="27"/>
      <c r="G22" s="27"/>
    </row>
    <row r="23" ht="15.75" customHeight="1">
      <c r="A23" s="29"/>
      <c r="B23" s="30"/>
      <c r="C23" s="30"/>
      <c r="D23" s="30"/>
      <c r="E23" s="31"/>
      <c r="F23" s="30"/>
      <c r="G23" s="30"/>
    </row>
    <row r="24" ht="15.75" customHeight="1">
      <c r="A24" s="26"/>
      <c r="B24" s="27"/>
      <c r="C24" s="27"/>
      <c r="D24" s="27"/>
      <c r="E24" s="28"/>
      <c r="F24" s="27"/>
      <c r="G24" s="27"/>
    </row>
    <row r="25" ht="15.75" customHeight="1">
      <c r="A25" s="29"/>
      <c r="B25" s="30"/>
      <c r="C25" s="30"/>
      <c r="D25" s="30"/>
      <c r="E25" s="31"/>
      <c r="F25" s="30"/>
      <c r="G25" s="30"/>
    </row>
    <row r="26" ht="15.75" customHeight="1">
      <c r="A26" s="26"/>
      <c r="B26" s="27"/>
      <c r="C26" s="27"/>
      <c r="D26" s="27"/>
      <c r="E26" s="28"/>
      <c r="F26" s="27"/>
      <c r="G26" s="27"/>
    </row>
    <row r="27" ht="15.75" customHeight="1">
      <c r="A27" s="29"/>
      <c r="B27" s="30"/>
      <c r="C27" s="30"/>
      <c r="D27" s="30"/>
      <c r="E27" s="31"/>
      <c r="F27" s="30"/>
      <c r="G27" s="30"/>
    </row>
    <row r="28" ht="15.75" customHeight="1">
      <c r="A28" s="26"/>
      <c r="B28" s="27"/>
      <c r="C28" s="27"/>
      <c r="D28" s="27"/>
      <c r="E28" s="28"/>
      <c r="F28" s="27"/>
      <c r="G28" s="27"/>
    </row>
    <row r="29" ht="15.75" customHeight="1">
      <c r="A29" s="29"/>
      <c r="B29" s="30"/>
      <c r="C29" s="30"/>
      <c r="D29" s="30"/>
      <c r="E29" s="31"/>
      <c r="F29" s="30"/>
      <c r="G29" s="30"/>
    </row>
    <row r="30" ht="15.75" customHeight="1">
      <c r="A30" s="26"/>
      <c r="B30" s="27"/>
      <c r="C30" s="27"/>
      <c r="D30" s="27"/>
      <c r="E30" s="28"/>
      <c r="F30" s="27"/>
      <c r="G30" s="27"/>
    </row>
    <row r="31" ht="15.75" customHeight="1">
      <c r="A31" s="29"/>
      <c r="B31" s="30"/>
      <c r="C31" s="30"/>
      <c r="D31" s="30"/>
      <c r="E31" s="31"/>
      <c r="F31" s="30"/>
      <c r="G31" s="30"/>
    </row>
    <row r="32" ht="15.75" customHeight="1">
      <c r="A32" s="26"/>
      <c r="B32" s="27"/>
      <c r="C32" s="27"/>
      <c r="D32" s="27"/>
      <c r="E32" s="28"/>
      <c r="F32" s="27"/>
      <c r="G32" s="27"/>
    </row>
    <row r="33" ht="15.75" customHeight="1">
      <c r="A33" s="29"/>
      <c r="B33" s="30"/>
      <c r="C33" s="30"/>
      <c r="D33" s="30"/>
      <c r="E33" s="31"/>
      <c r="F33" s="30"/>
      <c r="G33" s="30"/>
    </row>
    <row r="34" ht="15.75" customHeight="1">
      <c r="A34" s="26"/>
      <c r="B34" s="27"/>
      <c r="C34" s="27"/>
      <c r="D34" s="27"/>
      <c r="E34" s="28"/>
      <c r="F34" s="27"/>
      <c r="G34" s="27"/>
    </row>
    <row r="35" ht="15.75" customHeight="1">
      <c r="A35" s="29"/>
      <c r="B35" s="30"/>
      <c r="C35" s="30"/>
      <c r="D35" s="30"/>
      <c r="E35" s="31"/>
      <c r="F35" s="30"/>
      <c r="G35" s="30"/>
    </row>
    <row r="36" ht="15.75" customHeight="1">
      <c r="A36" s="26"/>
      <c r="B36" s="27"/>
      <c r="C36" s="27"/>
      <c r="D36" s="27"/>
      <c r="E36" s="28"/>
      <c r="F36" s="27"/>
      <c r="G36" s="27"/>
    </row>
    <row r="37" ht="15.75" customHeight="1">
      <c r="A37" s="29"/>
      <c r="B37" s="30"/>
      <c r="C37" s="30"/>
      <c r="D37" s="30"/>
      <c r="E37" s="31"/>
      <c r="F37" s="30"/>
      <c r="G37" s="30"/>
    </row>
    <row r="38" ht="15.75" customHeight="1">
      <c r="A38" s="26"/>
      <c r="B38" s="27"/>
      <c r="C38" s="27"/>
      <c r="D38" s="27"/>
      <c r="E38" s="28"/>
      <c r="F38" s="27"/>
      <c r="G38" s="27"/>
    </row>
    <row r="39" ht="15.75" customHeight="1">
      <c r="A39" s="29"/>
      <c r="B39" s="30"/>
      <c r="C39" s="30"/>
      <c r="D39" s="30"/>
      <c r="E39" s="31"/>
      <c r="F39" s="30"/>
      <c r="G39" s="30"/>
    </row>
    <row r="40" ht="15.75" customHeight="1">
      <c r="A40" s="26"/>
      <c r="B40" s="27"/>
      <c r="C40" s="27"/>
      <c r="D40" s="27"/>
      <c r="E40" s="28"/>
      <c r="F40" s="27"/>
      <c r="G40" s="27"/>
    </row>
    <row r="41" ht="15.75" customHeight="1">
      <c r="A41" s="29"/>
      <c r="B41" s="30"/>
      <c r="C41" s="30"/>
      <c r="D41" s="30"/>
      <c r="E41" s="31"/>
      <c r="F41" s="30"/>
      <c r="G41" s="30"/>
    </row>
    <row r="42" ht="15.75" customHeight="1">
      <c r="A42" s="26"/>
      <c r="B42" s="27"/>
      <c r="C42" s="27"/>
      <c r="D42" s="27"/>
      <c r="E42" s="28"/>
      <c r="F42" s="27"/>
      <c r="G42" s="27"/>
    </row>
    <row r="43" ht="15.75" customHeight="1">
      <c r="A43" s="29"/>
      <c r="B43" s="30"/>
      <c r="C43" s="30"/>
      <c r="D43" s="30"/>
      <c r="E43" s="31"/>
      <c r="F43" s="30"/>
      <c r="G43" s="30"/>
    </row>
    <row r="44" ht="15.75" customHeight="1">
      <c r="A44" s="26"/>
      <c r="B44" s="27"/>
      <c r="C44" s="27"/>
      <c r="D44" s="27"/>
      <c r="E44" s="28"/>
      <c r="F44" s="27"/>
      <c r="G44" s="27"/>
    </row>
    <row r="45" ht="15.75" customHeight="1">
      <c r="A45" s="29"/>
      <c r="B45" s="30"/>
      <c r="C45" s="30"/>
      <c r="D45" s="30"/>
      <c r="E45" s="31"/>
      <c r="F45" s="30"/>
      <c r="G45" s="30"/>
    </row>
    <row r="46" ht="15.75" customHeight="1">
      <c r="A46" s="26"/>
      <c r="B46" s="27"/>
      <c r="C46" s="27"/>
      <c r="D46" s="27"/>
      <c r="E46" s="28"/>
      <c r="F46" s="27"/>
      <c r="G46" s="27"/>
    </row>
    <row r="47" ht="15.75" customHeight="1">
      <c r="A47" s="29"/>
      <c r="B47" s="30"/>
      <c r="C47" s="30"/>
      <c r="D47" s="30"/>
      <c r="E47" s="31"/>
      <c r="F47" s="30"/>
      <c r="G47" s="30"/>
    </row>
    <row r="48" ht="15.75" customHeight="1">
      <c r="A48" s="26"/>
      <c r="B48" s="27"/>
      <c r="C48" s="27"/>
      <c r="D48" s="27"/>
      <c r="E48" s="28"/>
      <c r="F48" s="27"/>
      <c r="G48" s="27"/>
    </row>
    <row r="49" ht="15.75" customHeight="1">
      <c r="A49" s="29"/>
      <c r="B49" s="30"/>
      <c r="C49" s="30"/>
      <c r="D49" s="30"/>
      <c r="E49" s="31"/>
      <c r="F49" s="30"/>
      <c r="G49" s="30"/>
    </row>
    <row r="50" ht="15.75" customHeight="1">
      <c r="A50" s="26"/>
      <c r="B50" s="27"/>
      <c r="C50" s="27"/>
      <c r="D50" s="27"/>
      <c r="E50" s="28"/>
      <c r="F50" s="27"/>
      <c r="G50" s="27"/>
    </row>
    <row r="51" ht="15.75" customHeight="1">
      <c r="A51" s="29"/>
      <c r="B51" s="30"/>
      <c r="C51" s="30"/>
      <c r="D51" s="30"/>
      <c r="E51" s="31"/>
      <c r="F51" s="30"/>
      <c r="G51" s="30"/>
    </row>
    <row r="52" ht="15.75" customHeight="1">
      <c r="A52" s="26"/>
      <c r="B52" s="27"/>
      <c r="C52" s="27"/>
      <c r="D52" s="27"/>
      <c r="E52" s="28"/>
      <c r="F52" s="27"/>
      <c r="G52" s="27"/>
    </row>
    <row r="53" ht="15.75" customHeight="1">
      <c r="A53" s="29"/>
      <c r="B53" s="30"/>
      <c r="C53" s="30"/>
      <c r="D53" s="30"/>
      <c r="E53" s="31"/>
      <c r="F53" s="30"/>
      <c r="G53" s="30"/>
    </row>
    <row r="54" ht="15.75" customHeight="1">
      <c r="A54" s="26"/>
      <c r="B54" s="27"/>
      <c r="C54" s="27"/>
      <c r="D54" s="27"/>
      <c r="E54" s="28"/>
      <c r="F54" s="27"/>
      <c r="G54" s="27"/>
    </row>
    <row r="55" ht="15.75" customHeight="1">
      <c r="A55" s="29"/>
      <c r="B55" s="30"/>
      <c r="C55" s="30"/>
      <c r="D55" s="30"/>
      <c r="E55" s="31"/>
      <c r="F55" s="30"/>
      <c r="G55" s="30"/>
    </row>
    <row r="56" ht="15.75" customHeight="1">
      <c r="A56" s="26"/>
      <c r="B56" s="27"/>
      <c r="C56" s="27"/>
      <c r="D56" s="27"/>
      <c r="E56" s="28"/>
      <c r="F56" s="27"/>
      <c r="G56" s="27"/>
    </row>
    <row r="57" ht="15.75" customHeight="1">
      <c r="A57" s="29"/>
      <c r="B57" s="30"/>
      <c r="C57" s="30"/>
      <c r="D57" s="30"/>
      <c r="E57" s="31"/>
      <c r="F57" s="30"/>
      <c r="G57" s="30"/>
    </row>
    <row r="58" ht="15.75" customHeight="1">
      <c r="A58" s="26"/>
      <c r="B58" s="27"/>
      <c r="C58" s="27"/>
      <c r="D58" s="27"/>
      <c r="E58" s="28"/>
      <c r="F58" s="27"/>
      <c r="G58" s="27"/>
    </row>
    <row r="59" ht="15.75" customHeight="1">
      <c r="A59" s="29"/>
      <c r="B59" s="30"/>
      <c r="C59" s="30"/>
      <c r="D59" s="30"/>
      <c r="E59" s="31"/>
      <c r="F59" s="30"/>
      <c r="G59" s="30"/>
    </row>
    <row r="60" ht="15.75" customHeight="1">
      <c r="A60" s="26"/>
      <c r="B60" s="27"/>
      <c r="C60" s="27"/>
      <c r="D60" s="27"/>
      <c r="E60" s="28"/>
      <c r="F60" s="27"/>
      <c r="G60" s="27"/>
    </row>
    <row r="61" ht="15.75" customHeight="1">
      <c r="A61" s="29"/>
      <c r="B61" s="30"/>
      <c r="C61" s="30"/>
      <c r="D61" s="30"/>
      <c r="E61" s="31"/>
      <c r="F61" s="30"/>
      <c r="G61" s="30"/>
    </row>
    <row r="62" ht="15.75" customHeight="1">
      <c r="A62" s="26"/>
      <c r="B62" s="27"/>
      <c r="C62" s="27"/>
      <c r="D62" s="27"/>
      <c r="E62" s="28"/>
      <c r="F62" s="27"/>
      <c r="G62" s="27"/>
    </row>
    <row r="63" ht="15.75" customHeight="1">
      <c r="A63" s="29"/>
      <c r="B63" s="30"/>
      <c r="C63" s="30"/>
      <c r="D63" s="30"/>
      <c r="E63" s="31"/>
      <c r="F63" s="30"/>
      <c r="G63" s="30"/>
    </row>
    <row r="64" ht="15.75" customHeight="1">
      <c r="A64" s="26"/>
      <c r="B64" s="27"/>
      <c r="C64" s="27"/>
      <c r="D64" s="27"/>
      <c r="E64" s="28"/>
      <c r="F64" s="27"/>
      <c r="G64" s="27"/>
    </row>
    <row r="65" ht="15.75" customHeight="1">
      <c r="A65" s="29"/>
      <c r="B65" s="30"/>
      <c r="C65" s="30"/>
      <c r="D65" s="30"/>
      <c r="E65" s="31"/>
      <c r="F65" s="30"/>
      <c r="G65" s="30"/>
    </row>
    <row r="66" ht="15.75" customHeight="1">
      <c r="A66" s="26"/>
      <c r="B66" s="27"/>
      <c r="C66" s="27"/>
      <c r="D66" s="27"/>
      <c r="E66" s="28"/>
      <c r="F66" s="27"/>
      <c r="G66" s="27"/>
    </row>
    <row r="67" ht="15.75" customHeight="1">
      <c r="A67" s="29"/>
      <c r="B67" s="30"/>
      <c r="C67" s="30"/>
      <c r="D67" s="30"/>
      <c r="E67" s="31"/>
      <c r="F67" s="30"/>
      <c r="G67" s="30"/>
    </row>
    <row r="68" ht="15.75" customHeight="1">
      <c r="A68" s="26"/>
      <c r="B68" s="27"/>
      <c r="C68" s="27"/>
      <c r="D68" s="27"/>
      <c r="E68" s="28"/>
      <c r="F68" s="27"/>
      <c r="G68" s="27"/>
    </row>
    <row r="69" ht="15.75" customHeight="1">
      <c r="A69" s="29"/>
      <c r="B69" s="30"/>
      <c r="C69" s="30"/>
      <c r="D69" s="30"/>
      <c r="E69" s="31"/>
      <c r="F69" s="30"/>
      <c r="G69" s="30"/>
    </row>
    <row r="70" ht="15.75" customHeight="1">
      <c r="A70" s="26"/>
      <c r="B70" s="27"/>
      <c r="C70" s="27"/>
      <c r="D70" s="27"/>
      <c r="E70" s="28"/>
      <c r="F70" s="27"/>
      <c r="G70" s="27"/>
    </row>
    <row r="71" ht="15.75" customHeight="1">
      <c r="A71" s="29"/>
      <c r="B71" s="30"/>
      <c r="C71" s="30"/>
      <c r="D71" s="30"/>
      <c r="E71" s="31"/>
      <c r="F71" s="30"/>
      <c r="G71" s="30"/>
    </row>
    <row r="72" ht="15.75" customHeight="1">
      <c r="A72" s="26"/>
      <c r="B72" s="27"/>
      <c r="C72" s="27"/>
      <c r="D72" s="27"/>
      <c r="E72" s="28"/>
      <c r="F72" s="27"/>
      <c r="G72" s="27"/>
    </row>
    <row r="73" ht="15.75" customHeight="1">
      <c r="A73" s="29"/>
      <c r="B73" s="30"/>
      <c r="C73" s="30"/>
      <c r="D73" s="30"/>
      <c r="E73" s="31"/>
      <c r="F73" s="30"/>
      <c r="G73" s="30"/>
    </row>
    <row r="74" ht="15.75" customHeight="1">
      <c r="A74" s="26"/>
      <c r="B74" s="27"/>
      <c r="C74" s="27"/>
      <c r="D74" s="27"/>
      <c r="E74" s="28"/>
      <c r="F74" s="27"/>
      <c r="G74" s="27"/>
    </row>
    <row r="75" ht="15.75" customHeight="1">
      <c r="A75" s="29"/>
      <c r="B75" s="30"/>
      <c r="C75" s="30"/>
      <c r="D75" s="30"/>
      <c r="E75" s="31"/>
      <c r="F75" s="30"/>
      <c r="G75" s="30"/>
    </row>
    <row r="76" ht="15.75" customHeight="1">
      <c r="A76" s="26"/>
      <c r="B76" s="27"/>
      <c r="C76" s="27"/>
      <c r="D76" s="27"/>
      <c r="E76" s="28"/>
      <c r="F76" s="27"/>
      <c r="G76" s="27"/>
    </row>
    <row r="77" ht="15.75" customHeight="1">
      <c r="A77" s="29"/>
      <c r="B77" s="30"/>
      <c r="C77" s="30"/>
      <c r="D77" s="30"/>
      <c r="E77" s="31"/>
      <c r="F77" s="30"/>
      <c r="G77" s="30"/>
    </row>
    <row r="78" ht="15.75" customHeight="1">
      <c r="A78" s="26"/>
      <c r="B78" s="27"/>
      <c r="C78" s="27"/>
      <c r="D78" s="27"/>
      <c r="E78" s="28"/>
      <c r="F78" s="27"/>
      <c r="G78" s="27"/>
    </row>
    <row r="79" ht="15.75" customHeight="1">
      <c r="A79" s="29"/>
      <c r="B79" s="30"/>
      <c r="C79" s="30"/>
      <c r="D79" s="30"/>
      <c r="E79" s="31"/>
      <c r="F79" s="30"/>
      <c r="G79" s="30"/>
    </row>
    <row r="80" ht="15.75" customHeight="1">
      <c r="A80" s="26"/>
      <c r="B80" s="27"/>
      <c r="C80" s="27"/>
      <c r="D80" s="27"/>
      <c r="E80" s="28"/>
      <c r="F80" s="27"/>
      <c r="G80" s="27"/>
    </row>
    <row r="81" ht="15.75" customHeight="1">
      <c r="A81" s="29"/>
      <c r="B81" s="30"/>
      <c r="C81" s="30"/>
      <c r="D81" s="30"/>
      <c r="E81" s="31"/>
      <c r="F81" s="30"/>
      <c r="G81" s="30"/>
    </row>
    <row r="82" ht="15.75" customHeight="1">
      <c r="A82" s="26"/>
      <c r="B82" s="27"/>
      <c r="C82" s="27"/>
      <c r="D82" s="27"/>
      <c r="E82" s="28"/>
      <c r="F82" s="27"/>
      <c r="G82" s="27"/>
    </row>
    <row r="83" ht="15.75" customHeight="1">
      <c r="A83" s="29"/>
      <c r="B83" s="30"/>
      <c r="C83" s="30"/>
      <c r="D83" s="30"/>
      <c r="E83" s="31"/>
      <c r="F83" s="30"/>
      <c r="G83" s="30"/>
    </row>
    <row r="84" ht="15.75" customHeight="1">
      <c r="A84" s="26"/>
      <c r="B84" s="27"/>
      <c r="C84" s="27"/>
      <c r="D84" s="27"/>
      <c r="E84" s="28"/>
      <c r="F84" s="27"/>
      <c r="G84" s="27"/>
    </row>
    <row r="85" ht="15.75" customHeight="1">
      <c r="A85" s="29"/>
      <c r="B85" s="30"/>
      <c r="C85" s="30"/>
      <c r="D85" s="30"/>
      <c r="E85" s="31"/>
      <c r="F85" s="30"/>
      <c r="G85" s="30"/>
    </row>
    <row r="86" ht="15.75" customHeight="1">
      <c r="A86" s="26"/>
      <c r="B86" s="27"/>
      <c r="C86" s="27"/>
      <c r="D86" s="27"/>
      <c r="E86" s="28"/>
      <c r="F86" s="27"/>
      <c r="G86" s="27"/>
    </row>
    <row r="87" ht="15.75" customHeight="1">
      <c r="A87" s="29"/>
      <c r="B87" s="30"/>
      <c r="C87" s="30"/>
      <c r="D87" s="30"/>
      <c r="E87" s="31"/>
      <c r="F87" s="30"/>
      <c r="G87" s="30"/>
    </row>
    <row r="88" ht="15.75" customHeight="1">
      <c r="A88" s="26"/>
      <c r="B88" s="27"/>
      <c r="C88" s="27"/>
      <c r="D88" s="27"/>
      <c r="E88" s="28"/>
      <c r="F88" s="27"/>
      <c r="G88" s="27"/>
    </row>
    <row r="89" ht="15.75" customHeight="1">
      <c r="A89" s="29"/>
      <c r="B89" s="30"/>
      <c r="C89" s="30"/>
      <c r="D89" s="30"/>
      <c r="E89" s="31"/>
      <c r="F89" s="30"/>
      <c r="G89" s="30"/>
    </row>
    <row r="90" ht="15.75" customHeight="1">
      <c r="A90" s="26"/>
      <c r="B90" s="27"/>
      <c r="C90" s="27"/>
      <c r="D90" s="27"/>
      <c r="E90" s="28"/>
      <c r="F90" s="27"/>
      <c r="G90" s="27"/>
    </row>
    <row r="91" ht="15.75" customHeight="1">
      <c r="A91" s="29"/>
      <c r="B91" s="30"/>
      <c r="C91" s="30"/>
      <c r="D91" s="30"/>
      <c r="E91" s="31"/>
      <c r="F91" s="30"/>
      <c r="G91" s="30"/>
    </row>
    <row r="92" ht="15.75" customHeight="1">
      <c r="A92" s="26"/>
      <c r="B92" s="27"/>
      <c r="C92" s="27"/>
      <c r="D92" s="27"/>
      <c r="E92" s="28"/>
      <c r="F92" s="27"/>
      <c r="G92" s="27"/>
    </row>
    <row r="93" ht="15.75" customHeight="1">
      <c r="A93" s="29"/>
      <c r="B93" s="30"/>
      <c r="C93" s="30"/>
      <c r="D93" s="30"/>
      <c r="E93" s="31"/>
      <c r="F93" s="30"/>
      <c r="G93" s="30"/>
    </row>
    <row r="94" ht="15.75" customHeight="1">
      <c r="A94" s="26"/>
      <c r="B94" s="27"/>
      <c r="C94" s="27"/>
      <c r="D94" s="27"/>
      <c r="E94" s="28"/>
      <c r="F94" s="27"/>
      <c r="G94" s="27"/>
    </row>
    <row r="95" ht="15.75" customHeight="1">
      <c r="A95" s="29"/>
      <c r="B95" s="30"/>
      <c r="C95" s="30"/>
      <c r="D95" s="30"/>
      <c r="E95" s="31"/>
      <c r="F95" s="30"/>
      <c r="G95" s="30"/>
    </row>
    <row r="96" ht="15.75" customHeight="1">
      <c r="A96" s="26"/>
      <c r="B96" s="27"/>
      <c r="C96" s="27"/>
      <c r="D96" s="27"/>
      <c r="E96" s="28"/>
      <c r="F96" s="27"/>
      <c r="G96" s="27"/>
    </row>
    <row r="97" ht="15.75" customHeight="1">
      <c r="A97" s="29"/>
      <c r="B97" s="30"/>
      <c r="C97" s="30"/>
      <c r="D97" s="30"/>
      <c r="E97" s="31"/>
      <c r="F97" s="30"/>
      <c r="G97" s="30"/>
    </row>
    <row r="98" ht="15.75" customHeight="1">
      <c r="A98" s="26"/>
      <c r="B98" s="27"/>
      <c r="C98" s="27"/>
      <c r="D98" s="27"/>
      <c r="E98" s="28"/>
      <c r="F98" s="27"/>
      <c r="G98" s="27"/>
    </row>
    <row r="99" ht="15.75" customHeight="1">
      <c r="A99" s="29"/>
      <c r="B99" s="30"/>
      <c r="C99" s="30"/>
      <c r="D99" s="30"/>
      <c r="E99" s="31"/>
      <c r="F99" s="30"/>
      <c r="G99" s="30"/>
    </row>
    <row r="100" ht="15.75" customHeight="1">
      <c r="A100" s="26"/>
      <c r="B100" s="27"/>
      <c r="C100" s="27"/>
      <c r="D100" s="27"/>
      <c r="E100" s="28"/>
      <c r="F100" s="27"/>
      <c r="G100" s="27"/>
    </row>
    <row r="101" ht="15.75" customHeight="1">
      <c r="A101" s="29"/>
      <c r="B101" s="30"/>
      <c r="C101" s="30"/>
      <c r="D101" s="30"/>
      <c r="E101" s="31"/>
      <c r="F101" s="30"/>
      <c r="G101" s="30"/>
    </row>
    <row r="102" ht="15.75" customHeight="1">
      <c r="A102" s="26"/>
      <c r="B102" s="27"/>
      <c r="C102" s="27"/>
      <c r="D102" s="27"/>
      <c r="E102" s="28"/>
      <c r="F102" s="27"/>
      <c r="G102" s="27"/>
    </row>
    <row r="103" ht="15.75" customHeight="1">
      <c r="A103" s="29"/>
      <c r="B103" s="30"/>
      <c r="C103" s="30"/>
      <c r="D103" s="30"/>
      <c r="E103" s="31"/>
      <c r="F103" s="30"/>
      <c r="G103" s="30"/>
    </row>
    <row r="104" ht="15.75" customHeight="1">
      <c r="A104" s="26"/>
      <c r="B104" s="27"/>
      <c r="C104" s="27"/>
      <c r="D104" s="27"/>
      <c r="E104" s="28"/>
      <c r="F104" s="27"/>
      <c r="G104" s="27"/>
    </row>
    <row r="105" ht="15.75" customHeight="1">
      <c r="A105" s="29"/>
      <c r="B105" s="30"/>
      <c r="C105" s="30"/>
      <c r="D105" s="30"/>
      <c r="E105" s="31"/>
      <c r="F105" s="30"/>
      <c r="G105" s="30"/>
    </row>
    <row r="106" ht="15.75" customHeight="1">
      <c r="A106" s="26"/>
      <c r="B106" s="27"/>
      <c r="C106" s="27"/>
      <c r="D106" s="27"/>
      <c r="E106" s="28"/>
      <c r="F106" s="27"/>
      <c r="G106" s="27"/>
    </row>
    <row r="107" ht="15.75" customHeight="1">
      <c r="A107" s="29"/>
      <c r="B107" s="30"/>
      <c r="C107" s="30"/>
      <c r="D107" s="30"/>
      <c r="E107" s="31"/>
      <c r="F107" s="30"/>
      <c r="G107" s="30"/>
    </row>
    <row r="108" ht="15.75" customHeight="1">
      <c r="A108" s="26"/>
      <c r="B108" s="27"/>
      <c r="C108" s="27"/>
      <c r="D108" s="27"/>
      <c r="E108" s="28"/>
      <c r="F108" s="27"/>
      <c r="G108" s="27"/>
    </row>
    <row r="109" ht="15.75" customHeight="1">
      <c r="A109" s="29"/>
      <c r="B109" s="30"/>
      <c r="C109" s="30"/>
      <c r="D109" s="30"/>
      <c r="E109" s="31"/>
      <c r="F109" s="30"/>
      <c r="G109" s="30"/>
    </row>
    <row r="110" ht="15.75" customHeight="1">
      <c r="A110" s="26"/>
      <c r="B110" s="27"/>
      <c r="C110" s="27"/>
      <c r="D110" s="27"/>
      <c r="E110" s="28"/>
      <c r="F110" s="27"/>
      <c r="G110" s="27"/>
    </row>
    <row r="111" ht="15.75" customHeight="1">
      <c r="A111" s="29"/>
      <c r="B111" s="30"/>
      <c r="C111" s="30"/>
      <c r="D111" s="30"/>
      <c r="E111" s="31"/>
      <c r="F111" s="30"/>
      <c r="G111" s="30"/>
    </row>
    <row r="112" ht="15.75" customHeight="1">
      <c r="A112" s="26"/>
      <c r="B112" s="27"/>
      <c r="C112" s="27"/>
      <c r="D112" s="27"/>
      <c r="E112" s="28"/>
      <c r="F112" s="27"/>
      <c r="G112" s="27"/>
    </row>
    <row r="113" ht="15.75" customHeight="1">
      <c r="A113" s="29"/>
      <c r="B113" s="30"/>
      <c r="C113" s="30"/>
      <c r="D113" s="30"/>
      <c r="E113" s="31"/>
      <c r="F113" s="30"/>
      <c r="G113" s="30"/>
    </row>
    <row r="114" ht="15.75" customHeight="1">
      <c r="A114" s="26"/>
      <c r="B114" s="27"/>
      <c r="C114" s="27"/>
      <c r="D114" s="27"/>
      <c r="E114" s="28"/>
      <c r="F114" s="27"/>
      <c r="G114" s="27"/>
    </row>
    <row r="115" ht="15.75" customHeight="1">
      <c r="A115" s="29"/>
      <c r="B115" s="30"/>
      <c r="C115" s="30"/>
      <c r="D115" s="30"/>
      <c r="E115" s="31"/>
      <c r="F115" s="30"/>
      <c r="G115" s="30"/>
    </row>
    <row r="116" ht="15.75" customHeight="1">
      <c r="A116" s="26"/>
      <c r="B116" s="27"/>
      <c r="C116" s="27"/>
      <c r="D116" s="27"/>
      <c r="E116" s="28"/>
      <c r="F116" s="27"/>
      <c r="G116" s="27"/>
    </row>
    <row r="117" ht="15.75" customHeight="1">
      <c r="A117" s="29"/>
      <c r="B117" s="30"/>
      <c r="C117" s="30"/>
      <c r="D117" s="30"/>
      <c r="E117" s="31"/>
      <c r="F117" s="30"/>
      <c r="G117" s="30"/>
    </row>
    <row r="118" ht="15.75" customHeight="1">
      <c r="A118" s="26"/>
      <c r="B118" s="27"/>
      <c r="C118" s="27"/>
      <c r="D118" s="27"/>
      <c r="E118" s="28"/>
      <c r="F118" s="27"/>
      <c r="G118" s="27"/>
    </row>
    <row r="119" ht="15.75" customHeight="1">
      <c r="A119" s="29"/>
      <c r="B119" s="30"/>
      <c r="C119" s="30"/>
      <c r="D119" s="30"/>
      <c r="E119" s="31"/>
      <c r="F119" s="30"/>
      <c r="G119" s="30"/>
    </row>
    <row r="120" ht="15.75" customHeight="1">
      <c r="A120" s="26"/>
      <c r="B120" s="27"/>
      <c r="C120" s="27"/>
      <c r="D120" s="27"/>
      <c r="E120" s="28"/>
      <c r="F120" s="27"/>
      <c r="G120" s="27"/>
    </row>
    <row r="121" ht="15.75" customHeight="1">
      <c r="A121" s="29"/>
      <c r="B121" s="30"/>
      <c r="C121" s="30"/>
      <c r="D121" s="30"/>
      <c r="E121" s="31"/>
      <c r="F121" s="30"/>
      <c r="G121" s="30"/>
    </row>
    <row r="122" ht="15.75" customHeight="1">
      <c r="A122" s="26"/>
      <c r="B122" s="27"/>
      <c r="C122" s="27"/>
      <c r="D122" s="27"/>
      <c r="E122" s="28"/>
      <c r="F122" s="27"/>
      <c r="G122" s="27"/>
    </row>
    <row r="123" ht="15.75" customHeight="1">
      <c r="A123" s="29"/>
      <c r="B123" s="30"/>
      <c r="C123" s="30"/>
      <c r="D123" s="30"/>
      <c r="E123" s="31"/>
      <c r="F123" s="30"/>
      <c r="G123" s="30"/>
    </row>
    <row r="124" ht="15.75" customHeight="1">
      <c r="A124" s="26"/>
      <c r="B124" s="27"/>
      <c r="C124" s="27"/>
      <c r="D124" s="27"/>
      <c r="E124" s="28"/>
      <c r="F124" s="27"/>
      <c r="G124" s="27"/>
    </row>
    <row r="125" ht="15.75" customHeight="1">
      <c r="A125" s="29"/>
      <c r="B125" s="30"/>
      <c r="C125" s="30"/>
      <c r="D125" s="30"/>
      <c r="E125" s="31"/>
      <c r="F125" s="30"/>
      <c r="G125" s="30"/>
    </row>
    <row r="126" ht="15.75" customHeight="1">
      <c r="A126" s="26"/>
      <c r="B126" s="27"/>
      <c r="C126" s="27"/>
      <c r="D126" s="27"/>
      <c r="E126" s="28"/>
      <c r="F126" s="27"/>
      <c r="G126" s="27"/>
    </row>
    <row r="127" ht="15.75" customHeight="1">
      <c r="A127" s="29"/>
      <c r="B127" s="30"/>
      <c r="C127" s="30"/>
      <c r="D127" s="30"/>
      <c r="E127" s="31"/>
      <c r="F127" s="30"/>
      <c r="G127" s="30"/>
    </row>
    <row r="128" ht="15.75" customHeight="1">
      <c r="A128" s="26"/>
      <c r="B128" s="27"/>
      <c r="C128" s="27"/>
      <c r="D128" s="27"/>
      <c r="E128" s="28"/>
      <c r="F128" s="27"/>
      <c r="G128" s="27"/>
    </row>
    <row r="129" ht="15.75" customHeight="1">
      <c r="A129" s="29"/>
      <c r="B129" s="30"/>
      <c r="C129" s="30"/>
      <c r="D129" s="30"/>
      <c r="E129" s="31"/>
      <c r="F129" s="30"/>
      <c r="G129" s="30"/>
    </row>
    <row r="130" ht="15.75" customHeight="1">
      <c r="A130" s="26"/>
      <c r="B130" s="27"/>
      <c r="C130" s="27"/>
      <c r="D130" s="27"/>
      <c r="E130" s="28"/>
      <c r="F130" s="27"/>
      <c r="G130" s="27"/>
    </row>
    <row r="131" ht="15.75" customHeight="1">
      <c r="A131" s="29"/>
      <c r="B131" s="30"/>
      <c r="C131" s="30"/>
      <c r="D131" s="30"/>
      <c r="E131" s="31"/>
      <c r="F131" s="30"/>
      <c r="G131" s="30"/>
    </row>
    <row r="132" ht="15.75" customHeight="1">
      <c r="A132" s="26"/>
      <c r="B132" s="27"/>
      <c r="C132" s="27"/>
      <c r="D132" s="27"/>
      <c r="E132" s="28"/>
      <c r="F132" s="27"/>
      <c r="G132" s="27"/>
    </row>
    <row r="133" ht="15.75" customHeight="1">
      <c r="A133" s="29"/>
      <c r="B133" s="30"/>
      <c r="C133" s="30"/>
      <c r="D133" s="30"/>
      <c r="E133" s="31"/>
      <c r="F133" s="30"/>
      <c r="G133" s="30"/>
    </row>
    <row r="134" ht="15.75" customHeight="1">
      <c r="A134" s="26"/>
      <c r="B134" s="27"/>
      <c r="C134" s="27"/>
      <c r="D134" s="27"/>
      <c r="E134" s="28"/>
      <c r="F134" s="27"/>
      <c r="G134" s="27"/>
    </row>
    <row r="135" ht="15.75" customHeight="1">
      <c r="A135" s="29"/>
      <c r="B135" s="30"/>
      <c r="C135" s="30"/>
      <c r="D135" s="30"/>
      <c r="E135" s="31"/>
      <c r="F135" s="30"/>
      <c r="G135" s="30"/>
    </row>
    <row r="136" ht="15.75" customHeight="1">
      <c r="A136" s="26"/>
      <c r="B136" s="27"/>
      <c r="C136" s="27"/>
      <c r="D136" s="27"/>
      <c r="E136" s="28"/>
      <c r="F136" s="27"/>
      <c r="G136" s="27"/>
    </row>
    <row r="137" ht="15.75" customHeight="1">
      <c r="A137" s="29"/>
      <c r="B137" s="30"/>
      <c r="C137" s="30"/>
      <c r="D137" s="30"/>
      <c r="E137" s="31"/>
      <c r="F137" s="30"/>
      <c r="G137" s="30"/>
    </row>
    <row r="138" ht="15.75" customHeight="1">
      <c r="A138" s="26"/>
      <c r="B138" s="27"/>
      <c r="C138" s="27"/>
      <c r="D138" s="27"/>
      <c r="E138" s="28"/>
      <c r="F138" s="27"/>
      <c r="G138" s="27"/>
    </row>
    <row r="139" ht="15.75" customHeight="1">
      <c r="A139" s="29"/>
      <c r="B139" s="30"/>
      <c r="C139" s="30"/>
      <c r="D139" s="30"/>
      <c r="E139" s="31"/>
      <c r="F139" s="30"/>
      <c r="G139" s="30"/>
    </row>
    <row r="140" ht="15.75" customHeight="1">
      <c r="A140" s="26"/>
      <c r="B140" s="27"/>
      <c r="C140" s="27"/>
      <c r="D140" s="27"/>
      <c r="E140" s="28"/>
      <c r="F140" s="27"/>
      <c r="G140" s="27"/>
    </row>
    <row r="141" ht="15.75" customHeight="1">
      <c r="A141" s="29"/>
      <c r="B141" s="30"/>
      <c r="C141" s="30"/>
      <c r="D141" s="30"/>
      <c r="E141" s="31"/>
      <c r="F141" s="30"/>
      <c r="G141" s="30"/>
    </row>
    <row r="142" ht="15.75" customHeight="1">
      <c r="A142" s="26"/>
      <c r="B142" s="27"/>
      <c r="C142" s="27"/>
      <c r="D142" s="27"/>
      <c r="E142" s="28"/>
      <c r="F142" s="27"/>
      <c r="G142" s="27"/>
    </row>
    <row r="143" ht="15.75" customHeight="1">
      <c r="A143" s="29"/>
      <c r="B143" s="30"/>
      <c r="C143" s="30"/>
      <c r="D143" s="30"/>
      <c r="E143" s="31"/>
      <c r="F143" s="30"/>
      <c r="G143" s="30"/>
    </row>
    <row r="144" ht="15.75" customHeight="1">
      <c r="A144" s="26"/>
      <c r="B144" s="27"/>
      <c r="C144" s="27"/>
      <c r="D144" s="27"/>
      <c r="E144" s="28"/>
      <c r="F144" s="27"/>
      <c r="G144" s="27"/>
    </row>
    <row r="145" ht="15.75" customHeight="1">
      <c r="A145" s="29"/>
      <c r="B145" s="30"/>
      <c r="C145" s="30"/>
      <c r="D145" s="30"/>
      <c r="E145" s="31"/>
      <c r="F145" s="30"/>
      <c r="G145" s="30"/>
    </row>
    <row r="146" ht="15.75" customHeight="1">
      <c r="A146" s="26"/>
      <c r="B146" s="27"/>
      <c r="C146" s="27"/>
      <c r="D146" s="27"/>
      <c r="E146" s="28"/>
      <c r="F146" s="27"/>
      <c r="G146" s="27"/>
    </row>
    <row r="147" ht="15.75" customHeight="1">
      <c r="A147" s="29"/>
      <c r="B147" s="30"/>
      <c r="C147" s="30"/>
      <c r="D147" s="30"/>
      <c r="E147" s="31"/>
      <c r="F147" s="30"/>
      <c r="G147" s="30"/>
    </row>
    <row r="148" ht="15.75" customHeight="1">
      <c r="A148" s="26"/>
      <c r="B148" s="27"/>
      <c r="C148" s="27"/>
      <c r="D148" s="27"/>
      <c r="E148" s="28"/>
      <c r="F148" s="27"/>
      <c r="G148" s="27"/>
    </row>
    <row r="149" ht="15.75" customHeight="1">
      <c r="A149" s="29"/>
      <c r="B149" s="30"/>
      <c r="C149" s="30"/>
      <c r="D149" s="30"/>
      <c r="E149" s="31"/>
      <c r="F149" s="30"/>
      <c r="G149" s="30"/>
    </row>
    <row r="150" ht="15.75" customHeight="1">
      <c r="A150" s="26"/>
      <c r="B150" s="27"/>
      <c r="C150" s="27"/>
      <c r="D150" s="27"/>
      <c r="E150" s="28"/>
      <c r="F150" s="27"/>
      <c r="G150" s="27"/>
    </row>
    <row r="151" ht="15.75" customHeight="1">
      <c r="A151" s="29"/>
      <c r="B151" s="30"/>
      <c r="C151" s="30"/>
      <c r="D151" s="30"/>
      <c r="E151" s="31"/>
      <c r="F151" s="30"/>
      <c r="G151" s="30"/>
    </row>
    <row r="152" ht="15.75" customHeight="1">
      <c r="A152" s="26"/>
      <c r="B152" s="27"/>
      <c r="C152" s="27"/>
      <c r="D152" s="27"/>
      <c r="E152" s="28"/>
      <c r="F152" s="27"/>
      <c r="G152" s="27"/>
    </row>
    <row r="153" ht="15.75" customHeight="1">
      <c r="A153" s="29"/>
      <c r="B153" s="30"/>
      <c r="C153" s="30"/>
      <c r="D153" s="30"/>
      <c r="E153" s="31"/>
      <c r="F153" s="30"/>
      <c r="G153" s="30"/>
    </row>
    <row r="154" ht="15.75" customHeight="1">
      <c r="A154" s="26"/>
      <c r="B154" s="27"/>
      <c r="C154" s="27"/>
      <c r="D154" s="27"/>
      <c r="E154" s="28"/>
      <c r="F154" s="27"/>
      <c r="G154" s="27"/>
    </row>
    <row r="155" ht="15.75" customHeight="1">
      <c r="A155" s="29"/>
      <c r="B155" s="30"/>
      <c r="C155" s="30"/>
      <c r="D155" s="30"/>
      <c r="E155" s="31"/>
      <c r="F155" s="30"/>
      <c r="G155" s="30"/>
    </row>
    <row r="156" ht="15.75" customHeight="1">
      <c r="A156" s="26"/>
      <c r="B156" s="27"/>
      <c r="C156" s="27"/>
      <c r="D156" s="27"/>
      <c r="E156" s="28"/>
      <c r="F156" s="27"/>
      <c r="G156" s="27"/>
    </row>
    <row r="157" ht="15.75" customHeight="1">
      <c r="A157" s="29"/>
      <c r="B157" s="30"/>
      <c r="C157" s="30"/>
      <c r="D157" s="30"/>
      <c r="E157" s="31"/>
      <c r="F157" s="30"/>
      <c r="G157" s="30"/>
    </row>
    <row r="158" ht="15.75" customHeight="1">
      <c r="A158" s="26"/>
      <c r="B158" s="27"/>
      <c r="C158" s="27"/>
      <c r="D158" s="27"/>
      <c r="E158" s="28"/>
      <c r="F158" s="27"/>
      <c r="G158" s="27"/>
    </row>
    <row r="159" ht="15.75" customHeight="1">
      <c r="A159" s="29"/>
      <c r="B159" s="30"/>
      <c r="C159" s="30"/>
      <c r="D159" s="30"/>
      <c r="E159" s="31"/>
      <c r="F159" s="30"/>
      <c r="G159" s="30"/>
    </row>
    <row r="160" ht="15.75" customHeight="1">
      <c r="A160" s="26"/>
      <c r="B160" s="27"/>
      <c r="C160" s="27"/>
      <c r="D160" s="27"/>
      <c r="E160" s="28"/>
      <c r="F160" s="27"/>
      <c r="G160" s="27"/>
    </row>
    <row r="161" ht="15.75" customHeight="1">
      <c r="A161" s="29"/>
      <c r="B161" s="30"/>
      <c r="C161" s="30"/>
      <c r="D161" s="30"/>
      <c r="E161" s="31"/>
      <c r="F161" s="30"/>
      <c r="G161" s="30"/>
    </row>
    <row r="162" ht="15.75" customHeight="1">
      <c r="A162" s="26"/>
      <c r="B162" s="27"/>
      <c r="C162" s="27"/>
      <c r="D162" s="27"/>
      <c r="E162" s="28"/>
      <c r="F162" s="27"/>
      <c r="G162" s="27"/>
    </row>
    <row r="163" ht="15.75" customHeight="1">
      <c r="A163" s="29"/>
      <c r="B163" s="30"/>
      <c r="C163" s="30"/>
      <c r="D163" s="30"/>
      <c r="E163" s="31"/>
      <c r="F163" s="30"/>
      <c r="G163" s="30"/>
    </row>
    <row r="164" ht="15.75" customHeight="1">
      <c r="A164" s="26"/>
      <c r="B164" s="27"/>
      <c r="C164" s="27"/>
      <c r="D164" s="27"/>
      <c r="E164" s="28"/>
      <c r="F164" s="27"/>
      <c r="G164" s="27"/>
    </row>
    <row r="165" ht="15.75" customHeight="1">
      <c r="A165" s="29"/>
      <c r="B165" s="30"/>
      <c r="C165" s="30"/>
      <c r="D165" s="30"/>
      <c r="E165" s="31"/>
      <c r="F165" s="30"/>
      <c r="G165" s="30"/>
    </row>
    <row r="166" ht="15.75" customHeight="1">
      <c r="A166" s="26"/>
      <c r="B166" s="27"/>
      <c r="C166" s="27"/>
      <c r="D166" s="27"/>
      <c r="E166" s="28"/>
      <c r="F166" s="27"/>
      <c r="G166" s="27"/>
    </row>
    <row r="167" ht="15.75" customHeight="1">
      <c r="A167" s="29"/>
      <c r="B167" s="30"/>
      <c r="C167" s="30"/>
      <c r="D167" s="30"/>
      <c r="E167" s="31"/>
      <c r="F167" s="30"/>
      <c r="G167" s="30"/>
    </row>
    <row r="168" ht="15.75" customHeight="1">
      <c r="A168" s="26"/>
      <c r="B168" s="27"/>
      <c r="C168" s="27"/>
      <c r="D168" s="27"/>
      <c r="E168" s="28"/>
      <c r="F168" s="27"/>
      <c r="G168" s="27"/>
    </row>
    <row r="169" ht="15.75" customHeight="1">
      <c r="A169" s="29"/>
      <c r="B169" s="30"/>
      <c r="C169" s="30"/>
      <c r="D169" s="30"/>
      <c r="E169" s="31"/>
      <c r="F169" s="30"/>
      <c r="G169" s="30"/>
    </row>
    <row r="170" ht="15.75" customHeight="1">
      <c r="A170" s="26"/>
      <c r="B170" s="27"/>
      <c r="C170" s="27"/>
      <c r="D170" s="27"/>
      <c r="E170" s="28"/>
      <c r="F170" s="27"/>
      <c r="G170" s="27"/>
    </row>
    <row r="171" ht="15.75" customHeight="1">
      <c r="A171" s="29"/>
      <c r="B171" s="30"/>
      <c r="C171" s="30"/>
      <c r="D171" s="30"/>
      <c r="E171" s="31"/>
      <c r="F171" s="30"/>
      <c r="G171" s="30"/>
    </row>
    <row r="172" ht="15.75" customHeight="1">
      <c r="A172" s="26"/>
      <c r="B172" s="27"/>
      <c r="C172" s="27"/>
      <c r="D172" s="27"/>
      <c r="E172" s="28"/>
      <c r="F172" s="27"/>
      <c r="G172" s="27"/>
    </row>
    <row r="173" ht="15.75" customHeight="1">
      <c r="A173" s="29"/>
      <c r="B173" s="30"/>
      <c r="C173" s="30"/>
      <c r="D173" s="30"/>
      <c r="E173" s="31"/>
      <c r="F173" s="30"/>
      <c r="G173" s="30"/>
    </row>
    <row r="174" ht="15.75" customHeight="1">
      <c r="A174" s="26"/>
      <c r="B174" s="27"/>
      <c r="C174" s="27"/>
      <c r="D174" s="27"/>
      <c r="E174" s="28"/>
      <c r="F174" s="27"/>
      <c r="G174" s="27"/>
    </row>
    <row r="175" ht="15.75" customHeight="1">
      <c r="A175" s="29"/>
      <c r="B175" s="30"/>
      <c r="C175" s="30"/>
      <c r="D175" s="30"/>
      <c r="E175" s="31"/>
      <c r="F175" s="30"/>
      <c r="G175" s="30"/>
    </row>
    <row r="176" ht="15.75" customHeight="1">
      <c r="A176" s="26"/>
      <c r="B176" s="27"/>
      <c r="C176" s="27"/>
      <c r="D176" s="27"/>
      <c r="E176" s="28"/>
      <c r="F176" s="27"/>
      <c r="G176" s="27"/>
    </row>
    <row r="177" ht="15.75" customHeight="1">
      <c r="A177" s="29"/>
      <c r="B177" s="30"/>
      <c r="C177" s="30"/>
      <c r="D177" s="30"/>
      <c r="E177" s="31"/>
      <c r="F177" s="30"/>
      <c r="G177" s="30"/>
    </row>
    <row r="178" ht="15.75" customHeight="1">
      <c r="A178" s="26"/>
      <c r="B178" s="27"/>
      <c r="C178" s="27"/>
      <c r="D178" s="27"/>
      <c r="E178" s="28"/>
      <c r="F178" s="27"/>
      <c r="G178" s="27"/>
    </row>
    <row r="179" ht="15.75" customHeight="1">
      <c r="A179" s="29"/>
      <c r="B179" s="30"/>
      <c r="C179" s="30"/>
      <c r="D179" s="30"/>
      <c r="E179" s="31"/>
      <c r="F179" s="30"/>
      <c r="G179" s="30"/>
    </row>
    <row r="180" ht="15.75" customHeight="1">
      <c r="A180" s="26"/>
      <c r="B180" s="27"/>
      <c r="C180" s="27"/>
      <c r="D180" s="27"/>
      <c r="E180" s="28"/>
      <c r="F180" s="27"/>
      <c r="G180" s="27"/>
    </row>
    <row r="181" ht="15.75" customHeight="1">
      <c r="A181" s="29"/>
      <c r="B181" s="30"/>
      <c r="C181" s="30"/>
      <c r="D181" s="30"/>
      <c r="E181" s="31"/>
      <c r="F181" s="30"/>
      <c r="G181" s="30"/>
    </row>
    <row r="182" ht="15.75" customHeight="1">
      <c r="A182" s="26"/>
      <c r="B182" s="27"/>
      <c r="C182" s="27"/>
      <c r="D182" s="27"/>
      <c r="E182" s="28"/>
      <c r="F182" s="27"/>
      <c r="G182" s="27"/>
    </row>
    <row r="183" ht="15.75" customHeight="1">
      <c r="A183" s="29"/>
      <c r="B183" s="30"/>
      <c r="C183" s="30"/>
      <c r="D183" s="30"/>
      <c r="E183" s="31"/>
      <c r="F183" s="30"/>
      <c r="G183" s="30"/>
    </row>
    <row r="184" ht="15.75" customHeight="1">
      <c r="A184" s="26"/>
      <c r="B184" s="27"/>
      <c r="C184" s="27"/>
      <c r="D184" s="27"/>
      <c r="E184" s="28"/>
      <c r="F184" s="27"/>
      <c r="G184" s="27"/>
    </row>
    <row r="185" ht="15.75" customHeight="1">
      <c r="A185" s="29"/>
      <c r="B185" s="30"/>
      <c r="C185" s="30"/>
      <c r="D185" s="30"/>
      <c r="E185" s="31"/>
      <c r="F185" s="30"/>
      <c r="G185" s="30"/>
    </row>
    <row r="186" ht="15.75" customHeight="1">
      <c r="A186" s="26"/>
      <c r="B186" s="27"/>
      <c r="C186" s="27"/>
      <c r="D186" s="27"/>
      <c r="E186" s="28"/>
      <c r="F186" s="27"/>
      <c r="G186" s="27"/>
    </row>
    <row r="187" ht="15.75" customHeight="1">
      <c r="A187" s="29"/>
      <c r="B187" s="30"/>
      <c r="C187" s="30"/>
      <c r="D187" s="30"/>
      <c r="E187" s="31"/>
      <c r="F187" s="30"/>
      <c r="G187" s="30"/>
    </row>
    <row r="188" ht="15.75" customHeight="1">
      <c r="A188" s="26"/>
      <c r="B188" s="27"/>
      <c r="C188" s="27"/>
      <c r="D188" s="27"/>
      <c r="E188" s="28"/>
      <c r="F188" s="27"/>
      <c r="G188" s="27"/>
    </row>
    <row r="189" ht="15.75" customHeight="1">
      <c r="A189" s="29"/>
      <c r="B189" s="30"/>
      <c r="C189" s="30"/>
      <c r="D189" s="30"/>
      <c r="E189" s="31"/>
      <c r="F189" s="30"/>
      <c r="G189" s="30"/>
    </row>
    <row r="190" ht="15.75" customHeight="1">
      <c r="A190" s="26"/>
      <c r="B190" s="27"/>
      <c r="C190" s="27"/>
      <c r="D190" s="27"/>
      <c r="E190" s="28"/>
      <c r="F190" s="27"/>
      <c r="G190" s="27"/>
    </row>
    <row r="191" ht="15.75" customHeight="1">
      <c r="A191" s="29"/>
      <c r="B191" s="30"/>
      <c r="C191" s="30"/>
      <c r="D191" s="30"/>
      <c r="E191" s="31"/>
      <c r="F191" s="30"/>
      <c r="G191" s="30"/>
    </row>
    <row r="192" ht="15.75" customHeight="1">
      <c r="A192" s="26"/>
      <c r="B192" s="27"/>
      <c r="C192" s="27"/>
      <c r="D192" s="27"/>
      <c r="E192" s="28"/>
      <c r="F192" s="27"/>
      <c r="G192" s="27"/>
    </row>
    <row r="193" ht="15.75" customHeight="1">
      <c r="A193" s="29"/>
      <c r="B193" s="30"/>
      <c r="C193" s="30"/>
      <c r="D193" s="30"/>
      <c r="E193" s="31"/>
      <c r="F193" s="30"/>
      <c r="G193" s="30"/>
    </row>
    <row r="194" ht="15.75" customHeight="1">
      <c r="A194" s="26"/>
      <c r="B194" s="27"/>
      <c r="C194" s="27"/>
      <c r="D194" s="27"/>
      <c r="E194" s="28"/>
      <c r="F194" s="27"/>
      <c r="G194" s="27"/>
    </row>
    <row r="195" ht="15.75" customHeight="1">
      <c r="A195" s="29"/>
      <c r="B195" s="30"/>
      <c r="C195" s="30"/>
      <c r="D195" s="30"/>
      <c r="E195" s="31"/>
      <c r="F195" s="30"/>
      <c r="G195" s="30"/>
    </row>
    <row r="196" ht="15.75" customHeight="1">
      <c r="A196" s="26"/>
      <c r="B196" s="27"/>
      <c r="C196" s="27"/>
      <c r="D196" s="27"/>
      <c r="E196" s="28"/>
      <c r="F196" s="27"/>
      <c r="G196" s="27"/>
    </row>
    <row r="197" ht="15.75" customHeight="1">
      <c r="A197" s="29"/>
      <c r="B197" s="30"/>
      <c r="C197" s="30"/>
      <c r="D197" s="30"/>
      <c r="E197" s="31"/>
      <c r="F197" s="30"/>
      <c r="G197" s="30"/>
    </row>
    <row r="198" ht="15.75" customHeight="1">
      <c r="A198" s="26"/>
      <c r="B198" s="27"/>
      <c r="C198" s="27"/>
      <c r="D198" s="27"/>
      <c r="E198" s="28"/>
      <c r="F198" s="27"/>
      <c r="G198" s="27"/>
    </row>
    <row r="199" ht="15.75" customHeight="1">
      <c r="A199" s="29"/>
      <c r="B199" s="30"/>
      <c r="C199" s="30"/>
      <c r="D199" s="30"/>
      <c r="E199" s="31"/>
      <c r="F199" s="30"/>
      <c r="G199" s="30"/>
    </row>
    <row r="200" ht="15.75" customHeight="1">
      <c r="A200" s="26"/>
      <c r="B200" s="27"/>
      <c r="C200" s="27"/>
      <c r="D200" s="27"/>
      <c r="E200" s="28"/>
      <c r="F200" s="27"/>
      <c r="G200" s="27"/>
    </row>
    <row r="201" ht="15.75" customHeight="1">
      <c r="A201" s="29"/>
      <c r="B201" s="30"/>
      <c r="C201" s="30"/>
      <c r="D201" s="30"/>
      <c r="E201" s="31"/>
      <c r="F201" s="30"/>
      <c r="G201" s="30"/>
    </row>
    <row r="202" ht="15.75" customHeight="1">
      <c r="A202" s="26"/>
      <c r="B202" s="27"/>
      <c r="C202" s="27"/>
      <c r="D202" s="27"/>
      <c r="E202" s="28"/>
      <c r="F202" s="27"/>
      <c r="G202" s="27"/>
    </row>
    <row r="203" ht="15.75" customHeight="1">
      <c r="A203" s="29"/>
      <c r="B203" s="30"/>
      <c r="C203" s="30"/>
      <c r="D203" s="30"/>
      <c r="E203" s="31"/>
      <c r="F203" s="30"/>
      <c r="G203" s="30"/>
    </row>
    <row r="204" ht="15.75" customHeight="1">
      <c r="A204" s="26"/>
      <c r="B204" s="27"/>
      <c r="C204" s="27"/>
      <c r="D204" s="27"/>
      <c r="E204" s="28"/>
      <c r="F204" s="27"/>
      <c r="G204" s="27"/>
    </row>
    <row r="205" ht="15.75" customHeight="1">
      <c r="A205" s="29"/>
      <c r="B205" s="30"/>
      <c r="C205" s="30"/>
      <c r="D205" s="30"/>
      <c r="E205" s="31"/>
      <c r="F205" s="30"/>
      <c r="G205" s="30"/>
    </row>
    <row r="206" ht="15.75" customHeight="1">
      <c r="A206" s="26"/>
      <c r="B206" s="27"/>
      <c r="C206" s="27"/>
      <c r="D206" s="27"/>
      <c r="E206" s="28"/>
      <c r="F206" s="27"/>
      <c r="G206" s="27"/>
    </row>
    <row r="207" ht="15.75" customHeight="1">
      <c r="A207" s="29"/>
      <c r="B207" s="30"/>
      <c r="C207" s="30"/>
      <c r="D207" s="30"/>
      <c r="E207" s="31"/>
      <c r="F207" s="30"/>
      <c r="G207" s="30"/>
    </row>
    <row r="208" ht="15.75" customHeight="1">
      <c r="A208" s="26"/>
      <c r="B208" s="27"/>
      <c r="C208" s="27"/>
      <c r="D208" s="27"/>
      <c r="E208" s="28"/>
      <c r="F208" s="27"/>
      <c r="G208" s="27"/>
    </row>
    <row r="209" ht="15.75" customHeight="1">
      <c r="A209" s="29"/>
      <c r="B209" s="30"/>
      <c r="C209" s="30"/>
      <c r="D209" s="30"/>
      <c r="E209" s="31"/>
      <c r="F209" s="30"/>
      <c r="G209" s="30"/>
    </row>
    <row r="210" ht="15.75" customHeight="1">
      <c r="A210" s="26"/>
      <c r="B210" s="27"/>
      <c r="C210" s="27"/>
      <c r="D210" s="27"/>
      <c r="E210" s="28"/>
      <c r="F210" s="27"/>
      <c r="G210" s="27"/>
    </row>
    <row r="211" ht="15.75" customHeight="1">
      <c r="A211" s="29"/>
      <c r="B211" s="30"/>
      <c r="C211" s="30"/>
      <c r="D211" s="30"/>
      <c r="E211" s="31"/>
      <c r="F211" s="30"/>
      <c r="G211" s="30"/>
    </row>
    <row r="212" ht="15.75" customHeight="1">
      <c r="A212" s="26"/>
      <c r="B212" s="27"/>
      <c r="C212" s="27"/>
      <c r="D212" s="27"/>
      <c r="E212" s="28"/>
      <c r="F212" s="27"/>
      <c r="G212" s="27"/>
    </row>
    <row r="213" ht="15.75" customHeight="1">
      <c r="A213" s="29"/>
      <c r="B213" s="30"/>
      <c r="C213" s="30"/>
      <c r="D213" s="30"/>
      <c r="E213" s="31"/>
      <c r="F213" s="30"/>
      <c r="G213" s="30"/>
    </row>
    <row r="214" ht="15.75" customHeight="1">
      <c r="A214" s="26"/>
      <c r="B214" s="27"/>
      <c r="C214" s="27"/>
      <c r="D214" s="27"/>
      <c r="E214" s="28"/>
      <c r="F214" s="27"/>
      <c r="G214" s="27"/>
    </row>
    <row r="215" ht="15.75" customHeight="1">
      <c r="A215" s="29"/>
      <c r="B215" s="30"/>
      <c r="C215" s="30"/>
      <c r="D215" s="30"/>
      <c r="E215" s="31"/>
      <c r="F215" s="30"/>
      <c r="G215" s="30"/>
    </row>
    <row r="216" ht="15.75" customHeight="1">
      <c r="A216" s="26"/>
      <c r="B216" s="27"/>
      <c r="C216" s="27"/>
      <c r="D216" s="27"/>
      <c r="E216" s="28"/>
      <c r="F216" s="27"/>
      <c r="G216" s="27"/>
    </row>
    <row r="217" ht="15.75" customHeight="1">
      <c r="A217" s="29"/>
      <c r="B217" s="30"/>
      <c r="C217" s="30"/>
      <c r="D217" s="30"/>
      <c r="E217" s="31"/>
      <c r="F217" s="30"/>
      <c r="G217" s="30"/>
    </row>
    <row r="218" ht="15.75" customHeight="1">
      <c r="A218" s="26"/>
      <c r="B218" s="27"/>
      <c r="C218" s="27"/>
      <c r="D218" s="27"/>
      <c r="E218" s="28"/>
      <c r="F218" s="27"/>
      <c r="G218" s="27"/>
    </row>
    <row r="219" ht="15.75" customHeight="1">
      <c r="A219" s="29"/>
      <c r="B219" s="30"/>
      <c r="C219" s="30"/>
      <c r="D219" s="30"/>
      <c r="E219" s="31"/>
      <c r="F219" s="30"/>
      <c r="G219" s="30"/>
    </row>
    <row r="220" ht="15.75" customHeight="1">
      <c r="A220" s="26"/>
      <c r="B220" s="27"/>
      <c r="C220" s="27"/>
      <c r="D220" s="27"/>
      <c r="E220" s="28"/>
      <c r="F220" s="27"/>
      <c r="G220" s="27"/>
    </row>
    <row r="221" ht="15.75" customHeight="1">
      <c r="A221" s="32"/>
      <c r="B221" s="32"/>
      <c r="C221" s="32"/>
      <c r="D221" s="32"/>
      <c r="E221" s="32"/>
      <c r="F221" s="32"/>
      <c r="G221" s="32"/>
    </row>
    <row r="222" ht="15.75" customHeight="1">
      <c r="A222" s="33"/>
      <c r="B222" s="33"/>
      <c r="C222" s="33"/>
      <c r="D222" s="33"/>
      <c r="E222" s="33"/>
      <c r="F222" s="33"/>
      <c r="G222" s="33"/>
    </row>
    <row r="223" ht="15.75" customHeight="1">
      <c r="A223" s="32"/>
      <c r="B223" s="32"/>
      <c r="C223" s="32"/>
      <c r="D223" s="32"/>
      <c r="E223" s="32"/>
      <c r="F223" s="32"/>
      <c r="G223" s="32"/>
    </row>
    <row r="224" ht="15.75" customHeight="1">
      <c r="A224" s="33"/>
      <c r="B224" s="33"/>
      <c r="C224" s="33"/>
      <c r="D224" s="33"/>
      <c r="E224" s="33"/>
      <c r="F224" s="33"/>
      <c r="G224" s="33"/>
    </row>
    <row r="225" ht="15.75" customHeight="1">
      <c r="A225" s="32"/>
      <c r="B225" s="32"/>
      <c r="C225" s="32"/>
      <c r="D225" s="32"/>
      <c r="E225" s="32"/>
      <c r="F225" s="32"/>
      <c r="G225" s="32"/>
    </row>
    <row r="226" ht="15.75" customHeight="1">
      <c r="A226" s="33"/>
      <c r="B226" s="33"/>
      <c r="C226" s="33"/>
      <c r="D226" s="33"/>
      <c r="E226" s="33"/>
      <c r="F226" s="33"/>
      <c r="G226" s="33"/>
    </row>
    <row r="227" ht="15.75" customHeight="1">
      <c r="A227" s="32"/>
      <c r="B227" s="32"/>
      <c r="C227" s="32"/>
      <c r="D227" s="32"/>
      <c r="E227" s="32"/>
      <c r="F227" s="32"/>
      <c r="G227" s="32"/>
    </row>
    <row r="228" ht="15.75" customHeight="1">
      <c r="A228" s="33"/>
      <c r="B228" s="33"/>
      <c r="C228" s="33"/>
      <c r="D228" s="33"/>
      <c r="E228" s="33"/>
      <c r="F228" s="33"/>
      <c r="G228" s="33"/>
    </row>
    <row r="229" ht="15.75" customHeight="1">
      <c r="A229" s="32"/>
      <c r="B229" s="32"/>
      <c r="C229" s="32"/>
      <c r="D229" s="32"/>
      <c r="E229" s="32"/>
      <c r="F229" s="32"/>
      <c r="G229" s="32"/>
    </row>
    <row r="230" ht="15.75" customHeight="1">
      <c r="A230" s="33"/>
      <c r="B230" s="33"/>
      <c r="C230" s="33"/>
      <c r="D230" s="33"/>
      <c r="E230" s="33"/>
      <c r="F230" s="33"/>
      <c r="G230" s="33"/>
    </row>
    <row r="231" ht="15.75" customHeight="1">
      <c r="A231" s="32"/>
      <c r="B231" s="32"/>
      <c r="C231" s="32"/>
      <c r="D231" s="32"/>
      <c r="E231" s="32"/>
      <c r="F231" s="32"/>
      <c r="G231" s="32"/>
    </row>
    <row r="232" ht="15.75" customHeight="1">
      <c r="A232" s="33"/>
      <c r="B232" s="33"/>
      <c r="C232" s="33"/>
      <c r="D232" s="33"/>
      <c r="E232" s="33"/>
      <c r="F232" s="33"/>
      <c r="G232" s="33"/>
    </row>
    <row r="233" ht="15.75" customHeight="1">
      <c r="A233" s="32"/>
      <c r="B233" s="32"/>
      <c r="C233" s="32"/>
      <c r="D233" s="32"/>
      <c r="E233" s="32"/>
      <c r="F233" s="32"/>
      <c r="G233" s="32"/>
    </row>
    <row r="234" ht="15.75" customHeight="1">
      <c r="A234" s="33"/>
      <c r="B234" s="33"/>
      <c r="C234" s="33"/>
      <c r="D234" s="33"/>
      <c r="E234" s="33"/>
      <c r="F234" s="33"/>
      <c r="G234" s="33"/>
    </row>
    <row r="235" ht="15.75" customHeight="1">
      <c r="A235" s="32"/>
      <c r="B235" s="32"/>
      <c r="C235" s="32"/>
      <c r="D235" s="32"/>
      <c r="E235" s="32"/>
      <c r="F235" s="32"/>
      <c r="G235" s="32"/>
    </row>
    <row r="236" ht="15.75" customHeight="1">
      <c r="A236" s="33"/>
      <c r="B236" s="33"/>
      <c r="C236" s="33"/>
      <c r="D236" s="33"/>
      <c r="E236" s="33"/>
      <c r="F236" s="33"/>
      <c r="G236" s="33"/>
    </row>
    <row r="237" ht="15.75" customHeight="1">
      <c r="A237" s="32"/>
      <c r="B237" s="32"/>
      <c r="C237" s="32"/>
      <c r="D237" s="32"/>
      <c r="E237" s="32"/>
      <c r="F237" s="32"/>
      <c r="G237" s="32"/>
    </row>
    <row r="238" ht="15.75" customHeight="1">
      <c r="A238" s="33"/>
      <c r="B238" s="33"/>
      <c r="C238" s="33"/>
      <c r="D238" s="33"/>
      <c r="E238" s="33"/>
      <c r="F238" s="33"/>
      <c r="G238" s="33"/>
    </row>
    <row r="239" ht="15.75" customHeight="1">
      <c r="A239" s="32"/>
      <c r="B239" s="32"/>
      <c r="C239" s="32"/>
      <c r="D239" s="32"/>
      <c r="E239" s="32"/>
      <c r="F239" s="32"/>
      <c r="G239" s="32"/>
    </row>
    <row r="240" ht="15.75" customHeight="1">
      <c r="A240" s="33"/>
      <c r="B240" s="33"/>
      <c r="C240" s="33"/>
      <c r="D240" s="33"/>
      <c r="E240" s="33"/>
      <c r="F240" s="33"/>
      <c r="G240" s="33"/>
    </row>
    <row r="241" ht="15.75" customHeight="1">
      <c r="A241" s="32"/>
      <c r="B241" s="32"/>
      <c r="C241" s="32"/>
      <c r="D241" s="32"/>
      <c r="E241" s="32"/>
      <c r="F241" s="32"/>
      <c r="G241" s="32"/>
    </row>
    <row r="242" ht="15.75" customHeight="1">
      <c r="A242" s="33"/>
      <c r="B242" s="33"/>
      <c r="C242" s="33"/>
      <c r="D242" s="33"/>
      <c r="E242" s="33"/>
      <c r="F242" s="33"/>
      <c r="G242" s="33"/>
    </row>
    <row r="243" ht="15.75" customHeight="1">
      <c r="A243" s="32"/>
      <c r="B243" s="32"/>
      <c r="C243" s="32"/>
      <c r="D243" s="32"/>
      <c r="E243" s="32"/>
      <c r="F243" s="32"/>
      <c r="G243" s="32"/>
    </row>
    <row r="244" ht="15.75" customHeight="1">
      <c r="A244" s="33"/>
      <c r="B244" s="33"/>
      <c r="C244" s="33"/>
      <c r="D244" s="33"/>
      <c r="E244" s="33"/>
      <c r="F244" s="33"/>
      <c r="G244" s="33"/>
    </row>
    <row r="245" ht="15.75" customHeight="1">
      <c r="A245" s="32"/>
      <c r="B245" s="32"/>
      <c r="C245" s="32"/>
      <c r="D245" s="32"/>
      <c r="E245" s="32"/>
      <c r="F245" s="32"/>
      <c r="G245" s="32"/>
    </row>
    <row r="246" ht="15.75" customHeight="1">
      <c r="A246" s="33"/>
      <c r="B246" s="33"/>
      <c r="C246" s="33"/>
      <c r="D246" s="33"/>
      <c r="E246" s="33"/>
      <c r="F246" s="33"/>
      <c r="G246" s="33"/>
    </row>
    <row r="247" ht="15.75" customHeight="1">
      <c r="A247" s="32"/>
      <c r="B247" s="32"/>
      <c r="C247" s="32"/>
      <c r="D247" s="32"/>
      <c r="E247" s="32"/>
      <c r="F247" s="32"/>
      <c r="G247" s="32"/>
    </row>
    <row r="248" ht="15.75" customHeight="1">
      <c r="A248" s="33"/>
      <c r="B248" s="33"/>
      <c r="C248" s="33"/>
      <c r="D248" s="33"/>
      <c r="E248" s="33"/>
      <c r="F248" s="33"/>
      <c r="G248" s="33"/>
    </row>
    <row r="249" ht="15.75" customHeight="1">
      <c r="A249" s="32"/>
      <c r="B249" s="32"/>
      <c r="C249" s="32"/>
      <c r="D249" s="32"/>
      <c r="E249" s="32"/>
      <c r="F249" s="32"/>
      <c r="G249" s="32"/>
    </row>
    <row r="250" ht="15.75" customHeight="1">
      <c r="A250" s="33"/>
      <c r="B250" s="33"/>
      <c r="C250" s="33"/>
      <c r="D250" s="33"/>
      <c r="E250" s="33"/>
      <c r="F250" s="33"/>
      <c r="G250" s="33"/>
    </row>
    <row r="251" ht="15.75" customHeight="1">
      <c r="A251" s="32"/>
      <c r="B251" s="32"/>
      <c r="C251" s="32"/>
      <c r="D251" s="32"/>
      <c r="E251" s="32"/>
      <c r="F251" s="32"/>
      <c r="G251" s="32"/>
    </row>
    <row r="252" ht="15.75" customHeight="1">
      <c r="A252" s="33"/>
      <c r="B252" s="33"/>
      <c r="C252" s="33"/>
      <c r="D252" s="33"/>
      <c r="E252" s="33"/>
      <c r="F252" s="33"/>
      <c r="G252" s="33"/>
    </row>
    <row r="253" ht="15.75" customHeight="1">
      <c r="A253" s="32"/>
      <c r="B253" s="32"/>
      <c r="C253" s="32"/>
      <c r="D253" s="32"/>
      <c r="E253" s="32"/>
      <c r="F253" s="32"/>
      <c r="G253" s="32"/>
    </row>
    <row r="254" ht="15.75" customHeight="1">
      <c r="A254" s="33"/>
      <c r="B254" s="33"/>
      <c r="C254" s="33"/>
      <c r="D254" s="33"/>
      <c r="E254" s="33"/>
      <c r="F254" s="33"/>
      <c r="G254" s="33"/>
    </row>
    <row r="255" ht="15.75" customHeight="1">
      <c r="A255" s="32"/>
      <c r="B255" s="32"/>
      <c r="C255" s="32"/>
      <c r="D255" s="32"/>
      <c r="E255" s="32"/>
      <c r="F255" s="32"/>
      <c r="G255" s="32"/>
    </row>
    <row r="256" ht="15.75" customHeight="1">
      <c r="A256" s="33"/>
      <c r="B256" s="33"/>
      <c r="C256" s="33"/>
      <c r="D256" s="33"/>
      <c r="E256" s="33"/>
      <c r="F256" s="33"/>
      <c r="G256" s="33"/>
    </row>
    <row r="257" ht="15.75" customHeight="1">
      <c r="A257" s="32"/>
      <c r="B257" s="32"/>
      <c r="C257" s="32"/>
      <c r="D257" s="32"/>
      <c r="E257" s="32"/>
      <c r="F257" s="32"/>
      <c r="G257" s="32"/>
    </row>
    <row r="258" ht="15.75" customHeight="1">
      <c r="A258" s="33"/>
      <c r="B258" s="33"/>
      <c r="C258" s="33"/>
      <c r="D258" s="33"/>
      <c r="E258" s="33"/>
      <c r="F258" s="33"/>
      <c r="G258" s="33"/>
    </row>
    <row r="259" ht="15.75" customHeight="1">
      <c r="A259" s="32"/>
      <c r="B259" s="32"/>
      <c r="C259" s="32"/>
      <c r="D259" s="32"/>
      <c r="E259" s="32"/>
      <c r="F259" s="32"/>
      <c r="G259" s="32"/>
    </row>
    <row r="260" ht="15.75" customHeight="1">
      <c r="A260" s="33"/>
      <c r="B260" s="33"/>
      <c r="C260" s="33"/>
      <c r="D260" s="33"/>
      <c r="E260" s="33"/>
      <c r="F260" s="33"/>
      <c r="G260" s="33"/>
    </row>
    <row r="261" ht="15.75" customHeight="1">
      <c r="A261" s="32"/>
      <c r="B261" s="32"/>
      <c r="C261" s="32"/>
      <c r="D261" s="32"/>
      <c r="E261" s="32"/>
      <c r="F261" s="32"/>
      <c r="G261" s="32"/>
    </row>
    <row r="262" ht="15.75" customHeight="1">
      <c r="A262" s="33"/>
      <c r="B262" s="33"/>
      <c r="C262" s="33"/>
      <c r="D262" s="33"/>
      <c r="E262" s="33"/>
      <c r="F262" s="33"/>
      <c r="G262" s="33"/>
    </row>
    <row r="263" ht="15.75" customHeight="1">
      <c r="A263" s="32"/>
      <c r="B263" s="32"/>
      <c r="C263" s="32"/>
      <c r="D263" s="32"/>
      <c r="E263" s="32"/>
      <c r="F263" s="32"/>
      <c r="G263" s="32"/>
    </row>
    <row r="264" ht="15.75" customHeight="1">
      <c r="A264" s="33"/>
      <c r="B264" s="33"/>
      <c r="C264" s="33"/>
      <c r="D264" s="33"/>
      <c r="E264" s="33"/>
      <c r="F264" s="33"/>
      <c r="G264" s="33"/>
    </row>
    <row r="265" ht="15.75" customHeight="1">
      <c r="A265" s="32"/>
      <c r="B265" s="32"/>
      <c r="C265" s="32"/>
      <c r="D265" s="32"/>
      <c r="E265" s="32"/>
      <c r="F265" s="32"/>
      <c r="G265" s="32"/>
    </row>
    <row r="266" ht="15.75" customHeight="1">
      <c r="A266" s="33"/>
      <c r="B266" s="33"/>
      <c r="C266" s="33"/>
      <c r="D266" s="33"/>
      <c r="E266" s="33"/>
      <c r="F266" s="33"/>
      <c r="G266" s="33"/>
    </row>
    <row r="267" ht="15.75" customHeight="1">
      <c r="A267" s="32"/>
      <c r="B267" s="32"/>
      <c r="C267" s="32"/>
      <c r="D267" s="32"/>
      <c r="E267" s="32"/>
      <c r="F267" s="32"/>
      <c r="G267" s="32"/>
    </row>
    <row r="268" ht="15.75" customHeight="1">
      <c r="A268" s="33"/>
      <c r="B268" s="33"/>
      <c r="C268" s="33"/>
      <c r="D268" s="33"/>
      <c r="E268" s="33"/>
      <c r="F268" s="33"/>
      <c r="G268" s="33"/>
    </row>
    <row r="269" ht="15.75" customHeight="1">
      <c r="A269" s="32"/>
      <c r="B269" s="32"/>
      <c r="C269" s="32"/>
      <c r="D269" s="32"/>
      <c r="E269" s="32"/>
      <c r="F269" s="32"/>
      <c r="G269" s="32"/>
    </row>
    <row r="270" ht="15.75" customHeight="1">
      <c r="A270" s="33"/>
      <c r="B270" s="33"/>
      <c r="C270" s="33"/>
      <c r="D270" s="33"/>
      <c r="E270" s="33"/>
      <c r="F270" s="33"/>
      <c r="G270" s="33"/>
    </row>
    <row r="271" ht="15.75" customHeight="1">
      <c r="A271" s="32"/>
      <c r="B271" s="32"/>
      <c r="C271" s="32"/>
      <c r="D271" s="32"/>
      <c r="E271" s="32"/>
      <c r="F271" s="32"/>
      <c r="G271" s="32"/>
    </row>
    <row r="272" ht="15.75" customHeight="1">
      <c r="A272" s="33"/>
      <c r="B272" s="33"/>
      <c r="C272" s="33"/>
      <c r="D272" s="33"/>
      <c r="E272" s="33"/>
      <c r="F272" s="33"/>
      <c r="G272" s="33"/>
    </row>
    <row r="273" ht="15.75" customHeight="1">
      <c r="A273" s="32"/>
      <c r="B273" s="32"/>
      <c r="C273" s="32"/>
      <c r="D273" s="32"/>
      <c r="E273" s="32"/>
      <c r="F273" s="32"/>
      <c r="G273" s="32"/>
    </row>
    <row r="274" ht="15.75" customHeight="1">
      <c r="A274" s="33"/>
      <c r="B274" s="33"/>
      <c r="C274" s="33"/>
      <c r="D274" s="33"/>
      <c r="E274" s="33"/>
      <c r="F274" s="33"/>
      <c r="G274" s="33"/>
    </row>
    <row r="275" ht="15.75" customHeight="1">
      <c r="A275" s="32"/>
      <c r="B275" s="32"/>
      <c r="C275" s="32"/>
      <c r="D275" s="32"/>
      <c r="E275" s="32"/>
      <c r="F275" s="32"/>
      <c r="G275" s="32"/>
    </row>
    <row r="276" ht="15.75" customHeight="1">
      <c r="A276" s="33"/>
      <c r="B276" s="33"/>
      <c r="C276" s="33"/>
      <c r="D276" s="33"/>
      <c r="E276" s="33"/>
      <c r="F276" s="33"/>
      <c r="G276" s="33"/>
    </row>
    <row r="277" ht="15.75" customHeight="1">
      <c r="A277" s="32"/>
      <c r="B277" s="32"/>
      <c r="C277" s="32"/>
      <c r="D277" s="32"/>
      <c r="E277" s="32"/>
      <c r="F277" s="32"/>
      <c r="G277" s="32"/>
    </row>
    <row r="278" ht="15.75" customHeight="1">
      <c r="A278" s="33"/>
      <c r="B278" s="33"/>
      <c r="C278" s="33"/>
      <c r="D278" s="33"/>
      <c r="E278" s="33"/>
      <c r="F278" s="33"/>
      <c r="G278" s="33"/>
    </row>
    <row r="279" ht="15.75" customHeight="1">
      <c r="A279" s="32"/>
      <c r="B279" s="32"/>
      <c r="C279" s="32"/>
      <c r="D279" s="32"/>
      <c r="E279" s="32"/>
      <c r="F279" s="32"/>
      <c r="G279" s="32"/>
    </row>
    <row r="280" ht="15.75" customHeight="1">
      <c r="A280" s="33"/>
      <c r="B280" s="33"/>
      <c r="C280" s="33"/>
      <c r="D280" s="33"/>
      <c r="E280" s="33"/>
      <c r="F280" s="33"/>
      <c r="G280" s="33"/>
    </row>
    <row r="281" ht="15.75" customHeight="1">
      <c r="A281" s="32"/>
      <c r="B281" s="32"/>
      <c r="C281" s="32"/>
      <c r="D281" s="32"/>
      <c r="E281" s="32"/>
      <c r="F281" s="32"/>
      <c r="G281" s="32"/>
    </row>
    <row r="282" ht="15.75" customHeight="1">
      <c r="A282" s="33"/>
      <c r="B282" s="33"/>
      <c r="C282" s="33"/>
      <c r="D282" s="33"/>
      <c r="E282" s="33"/>
      <c r="F282" s="33"/>
      <c r="G282" s="33"/>
    </row>
    <row r="283" ht="15.75" customHeight="1">
      <c r="A283" s="32"/>
      <c r="B283" s="32"/>
      <c r="C283" s="32"/>
      <c r="D283" s="32"/>
      <c r="E283" s="32"/>
      <c r="F283" s="32"/>
      <c r="G283" s="32"/>
    </row>
    <row r="284" ht="15.75" customHeight="1">
      <c r="A284" s="33"/>
      <c r="B284" s="33"/>
      <c r="C284" s="33"/>
      <c r="D284" s="33"/>
      <c r="E284" s="33"/>
      <c r="F284" s="33"/>
      <c r="G284" s="33"/>
    </row>
    <row r="285" ht="15.75" customHeight="1">
      <c r="A285" s="32"/>
      <c r="B285" s="32"/>
      <c r="C285" s="32"/>
      <c r="D285" s="32"/>
      <c r="E285" s="32"/>
      <c r="F285" s="32"/>
      <c r="G285" s="32"/>
    </row>
    <row r="286" ht="15.75" customHeight="1">
      <c r="A286" s="33"/>
      <c r="B286" s="33"/>
      <c r="C286" s="33"/>
      <c r="D286" s="33"/>
      <c r="E286" s="33"/>
      <c r="F286" s="33"/>
      <c r="G286" s="33"/>
    </row>
    <row r="287" ht="15.75" customHeight="1">
      <c r="A287" s="32"/>
      <c r="B287" s="32"/>
      <c r="C287" s="32"/>
      <c r="D287" s="32"/>
      <c r="E287" s="32"/>
      <c r="F287" s="32"/>
      <c r="G287" s="32"/>
    </row>
    <row r="288" ht="15.75" customHeight="1">
      <c r="A288" s="33"/>
      <c r="B288" s="33"/>
      <c r="C288" s="33"/>
      <c r="D288" s="33"/>
      <c r="E288" s="33"/>
      <c r="F288" s="33"/>
      <c r="G288" s="33"/>
    </row>
    <row r="289" ht="15.75" customHeight="1">
      <c r="A289" s="32"/>
      <c r="B289" s="32"/>
      <c r="C289" s="32"/>
      <c r="D289" s="32"/>
      <c r="E289" s="32"/>
      <c r="F289" s="32"/>
      <c r="G289" s="32"/>
    </row>
    <row r="290" ht="15.75" customHeight="1">
      <c r="A290" s="33"/>
      <c r="B290" s="33"/>
      <c r="C290" s="33"/>
      <c r="D290" s="33"/>
      <c r="E290" s="33"/>
      <c r="F290" s="33"/>
      <c r="G290" s="33"/>
    </row>
    <row r="291" ht="15.75" customHeight="1">
      <c r="A291" s="32"/>
      <c r="B291" s="32"/>
      <c r="C291" s="32"/>
      <c r="D291" s="32"/>
      <c r="E291" s="32"/>
      <c r="F291" s="32"/>
      <c r="G291" s="32"/>
    </row>
    <row r="292" ht="15.75" customHeight="1">
      <c r="A292" s="33"/>
      <c r="B292" s="33"/>
      <c r="C292" s="33"/>
      <c r="D292" s="33"/>
      <c r="E292" s="33"/>
      <c r="F292" s="33"/>
      <c r="G292" s="33"/>
    </row>
    <row r="293" ht="15.75" customHeight="1">
      <c r="A293" s="32"/>
      <c r="B293" s="32"/>
      <c r="C293" s="32"/>
      <c r="D293" s="32"/>
      <c r="E293" s="32"/>
      <c r="F293" s="32"/>
      <c r="G293" s="32"/>
    </row>
    <row r="294" ht="15.75" customHeight="1">
      <c r="A294" s="33"/>
      <c r="B294" s="33"/>
      <c r="C294" s="33"/>
      <c r="D294" s="33"/>
      <c r="E294" s="33"/>
      <c r="F294" s="33"/>
      <c r="G294" s="33"/>
    </row>
    <row r="295" ht="15.75" customHeight="1">
      <c r="A295" s="32"/>
      <c r="B295" s="32"/>
      <c r="C295" s="32"/>
      <c r="D295" s="32"/>
      <c r="E295" s="32"/>
      <c r="F295" s="32"/>
      <c r="G295" s="32"/>
    </row>
    <row r="296" ht="15.75" customHeight="1">
      <c r="A296" s="33"/>
      <c r="B296" s="33"/>
      <c r="C296" s="33"/>
      <c r="D296" s="33"/>
      <c r="E296" s="33"/>
      <c r="F296" s="33"/>
      <c r="G296" s="33"/>
    </row>
    <row r="297" ht="15.75" customHeight="1">
      <c r="A297" s="32"/>
      <c r="B297" s="32"/>
      <c r="C297" s="32"/>
      <c r="D297" s="32"/>
      <c r="E297" s="32"/>
      <c r="F297" s="32"/>
      <c r="G297" s="32"/>
    </row>
    <row r="298" ht="15.75" customHeight="1">
      <c r="A298" s="33"/>
      <c r="B298" s="33"/>
      <c r="C298" s="33"/>
      <c r="D298" s="33"/>
      <c r="E298" s="33"/>
      <c r="F298" s="33"/>
      <c r="G298" s="33"/>
    </row>
    <row r="299" ht="15.75" customHeight="1">
      <c r="A299" s="32"/>
      <c r="B299" s="32"/>
      <c r="C299" s="32"/>
      <c r="D299" s="32"/>
      <c r="E299" s="32"/>
      <c r="F299" s="32"/>
      <c r="G299" s="32"/>
    </row>
    <row r="300" ht="15.75" customHeight="1">
      <c r="A300" s="33"/>
      <c r="B300" s="33"/>
      <c r="C300" s="33"/>
      <c r="D300" s="33"/>
      <c r="E300" s="33"/>
      <c r="F300" s="33"/>
      <c r="G300" s="33"/>
    </row>
    <row r="301" ht="15.75" customHeight="1">
      <c r="A301" s="32"/>
      <c r="B301" s="32"/>
      <c r="C301" s="32"/>
      <c r="D301" s="32"/>
      <c r="E301" s="32"/>
      <c r="F301" s="32"/>
      <c r="G301" s="32"/>
    </row>
    <row r="302" ht="15.75" customHeight="1">
      <c r="A302" s="33"/>
      <c r="B302" s="33"/>
      <c r="C302" s="33"/>
      <c r="D302" s="33"/>
      <c r="E302" s="33"/>
      <c r="F302" s="33"/>
      <c r="G302" s="33"/>
    </row>
    <row r="303" ht="15.75" customHeight="1">
      <c r="A303" s="32"/>
      <c r="B303" s="32"/>
      <c r="C303" s="32"/>
      <c r="D303" s="32"/>
      <c r="E303" s="32"/>
      <c r="F303" s="32"/>
      <c r="G303" s="32"/>
    </row>
  </sheetData>
  <autoFilter ref="$A$3:$G$303"/>
  <mergeCells count="1">
    <mergeCell ref="A1:G1"/>
  </mergeCells>
  <conditionalFormatting sqref="A4:G303">
    <cfRule type="expression" dxfId="0" priority="1">
      <formula>$B4="支出"</formula>
    </cfRule>
  </conditionalFormatting>
  <conditionalFormatting sqref="A4:G303">
    <cfRule type="expression" dxfId="2" priority="2">
      <formula>$B4="收入"</formula>
    </cfRule>
  </conditionalFormatting>
  <dataValidations>
    <dataValidation type="decimal" operator="greaterThan" allowBlank="1" sqref="E4:E303">
      <formula1>0.0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1.0"/>
    <col customWidth="1" min="2" max="3" width="14.0"/>
    <col customWidth="1" min="4" max="4" width="15.75"/>
    <col customWidth="1" min="5" max="5" width="14.0"/>
    <col customWidth="1" min="6" max="7" width="10.5"/>
    <col customWidth="1" min="8" max="8" width="29.75"/>
    <col customWidth="1" min="9" max="11" width="7.63"/>
  </cols>
  <sheetData>
    <row r="1">
      <c r="A1" s="24" t="s">
        <v>41</v>
      </c>
      <c r="B1" s="2"/>
      <c r="C1" s="2"/>
      <c r="D1" s="2"/>
      <c r="E1" s="2"/>
      <c r="F1" s="2"/>
      <c r="G1" s="2"/>
      <c r="H1" s="3"/>
    </row>
    <row r="3">
      <c r="A3" s="34" t="s">
        <v>42</v>
      </c>
      <c r="B3" s="34" t="s">
        <v>36</v>
      </c>
      <c r="C3" s="34" t="s">
        <v>38</v>
      </c>
      <c r="D3" s="34" t="s">
        <v>43</v>
      </c>
      <c r="E3" s="34" t="s">
        <v>39</v>
      </c>
      <c r="F3" s="34" t="s">
        <v>44</v>
      </c>
      <c r="G3" s="34" t="s">
        <v>45</v>
      </c>
      <c r="H3" s="34" t="s">
        <v>40</v>
      </c>
    </row>
    <row r="4">
      <c r="A4" s="35"/>
      <c r="B4" s="35"/>
      <c r="C4" s="36"/>
      <c r="D4" s="37"/>
      <c r="E4" s="35"/>
      <c r="F4" s="35"/>
      <c r="G4" s="35"/>
      <c r="H4" s="35"/>
    </row>
    <row r="5">
      <c r="A5" s="35"/>
      <c r="B5" s="35"/>
      <c r="C5" s="36"/>
      <c r="D5" s="37"/>
      <c r="E5" s="35"/>
      <c r="F5" s="35"/>
      <c r="G5" s="35"/>
      <c r="H5" s="35"/>
    </row>
    <row r="6">
      <c r="A6" s="35"/>
      <c r="B6" s="35"/>
      <c r="C6" s="36"/>
      <c r="D6" s="37"/>
      <c r="E6" s="35"/>
      <c r="F6" s="35"/>
      <c r="G6" s="35"/>
      <c r="H6" s="35"/>
    </row>
    <row r="7">
      <c r="A7" s="35"/>
      <c r="B7" s="35"/>
      <c r="C7" s="36"/>
      <c r="D7" s="37"/>
      <c r="E7" s="35"/>
      <c r="F7" s="35"/>
      <c r="G7" s="35"/>
      <c r="H7" s="35"/>
    </row>
    <row r="8">
      <c r="A8" s="35"/>
      <c r="B8" s="35"/>
      <c r="C8" s="36"/>
      <c r="D8" s="37"/>
      <c r="E8" s="35"/>
      <c r="F8" s="35"/>
      <c r="G8" s="35"/>
      <c r="H8" s="35"/>
    </row>
    <row r="9">
      <c r="A9" s="35"/>
      <c r="B9" s="35"/>
      <c r="C9" s="36"/>
      <c r="D9" s="37"/>
      <c r="E9" s="35"/>
      <c r="F9" s="35"/>
      <c r="G9" s="35"/>
      <c r="H9" s="35"/>
    </row>
    <row r="10">
      <c r="A10" s="35"/>
      <c r="B10" s="35"/>
      <c r="C10" s="36"/>
      <c r="D10" s="37"/>
      <c r="E10" s="35"/>
      <c r="F10" s="35"/>
      <c r="G10" s="35"/>
      <c r="H10" s="35"/>
    </row>
    <row r="11">
      <c r="A11" s="35"/>
      <c r="B11" s="35"/>
      <c r="C11" s="36"/>
      <c r="D11" s="37"/>
      <c r="E11" s="35"/>
      <c r="F11" s="35"/>
      <c r="G11" s="35"/>
      <c r="H11" s="35"/>
    </row>
    <row r="12">
      <c r="A12" s="35"/>
      <c r="B12" s="35"/>
      <c r="C12" s="36"/>
      <c r="D12" s="37"/>
      <c r="E12" s="35"/>
      <c r="F12" s="35"/>
      <c r="G12" s="35"/>
      <c r="H12" s="35"/>
    </row>
    <row r="13">
      <c r="A13" s="35"/>
      <c r="B13" s="35"/>
      <c r="C13" s="36"/>
      <c r="D13" s="37"/>
      <c r="E13" s="35"/>
      <c r="F13" s="35"/>
      <c r="G13" s="35"/>
      <c r="H13" s="35"/>
    </row>
    <row r="14">
      <c r="A14" s="35"/>
      <c r="B14" s="35"/>
      <c r="C14" s="36"/>
      <c r="D14" s="37"/>
      <c r="E14" s="35"/>
      <c r="F14" s="35"/>
      <c r="G14" s="35"/>
      <c r="H14" s="35"/>
    </row>
    <row r="15">
      <c r="A15" s="35"/>
      <c r="B15" s="35"/>
      <c r="C15" s="36"/>
      <c r="D15" s="37"/>
      <c r="E15" s="35"/>
      <c r="F15" s="35"/>
      <c r="G15" s="35"/>
      <c r="H15" s="35"/>
    </row>
    <row r="16">
      <c r="A16" s="35"/>
      <c r="B16" s="35"/>
      <c r="C16" s="36"/>
      <c r="D16" s="37"/>
      <c r="E16" s="35"/>
      <c r="F16" s="35"/>
      <c r="G16" s="35"/>
      <c r="H16" s="35"/>
    </row>
    <row r="17">
      <c r="A17" s="35"/>
      <c r="B17" s="35"/>
      <c r="C17" s="36"/>
      <c r="D17" s="37"/>
      <c r="E17" s="35"/>
      <c r="F17" s="35"/>
      <c r="G17" s="35"/>
      <c r="H17" s="35"/>
    </row>
    <row r="18">
      <c r="A18" s="35"/>
      <c r="B18" s="35"/>
      <c r="C18" s="36"/>
      <c r="D18" s="37"/>
      <c r="E18" s="35"/>
      <c r="F18" s="35"/>
      <c r="G18" s="35"/>
      <c r="H18" s="35"/>
    </row>
    <row r="19">
      <c r="A19" s="35"/>
      <c r="B19" s="35"/>
      <c r="C19" s="36"/>
      <c r="D19" s="37"/>
      <c r="E19" s="35"/>
      <c r="F19" s="35"/>
      <c r="G19" s="35"/>
      <c r="H19" s="35"/>
    </row>
    <row r="20">
      <c r="A20" s="35"/>
      <c r="B20" s="35"/>
      <c r="C20" s="36"/>
      <c r="D20" s="37"/>
      <c r="E20" s="35"/>
      <c r="F20" s="35"/>
      <c r="G20" s="35"/>
      <c r="H20" s="35"/>
    </row>
    <row r="21" ht="15.75" customHeight="1">
      <c r="A21" s="35"/>
      <c r="B21" s="35"/>
      <c r="C21" s="36"/>
      <c r="D21" s="37"/>
      <c r="E21" s="35"/>
      <c r="F21" s="35"/>
      <c r="G21" s="35"/>
      <c r="H21" s="35"/>
    </row>
    <row r="22" ht="15.75" customHeight="1">
      <c r="A22" s="35"/>
      <c r="B22" s="35"/>
      <c r="C22" s="36"/>
      <c r="D22" s="37"/>
      <c r="E22" s="35"/>
      <c r="F22" s="35"/>
      <c r="G22" s="35"/>
      <c r="H22" s="35"/>
    </row>
    <row r="23" ht="15.75" customHeight="1">
      <c r="A23" s="35"/>
      <c r="B23" s="35"/>
      <c r="C23" s="36"/>
      <c r="D23" s="37"/>
      <c r="E23" s="35"/>
      <c r="F23" s="35"/>
      <c r="G23" s="35"/>
      <c r="H23" s="35"/>
    </row>
    <row r="24" ht="15.75" customHeight="1">
      <c r="A24" s="35"/>
      <c r="B24" s="35"/>
      <c r="C24" s="36"/>
      <c r="D24" s="37"/>
      <c r="E24" s="35"/>
      <c r="F24" s="35"/>
      <c r="G24" s="35"/>
      <c r="H24" s="35"/>
    </row>
    <row r="25" ht="15.75" customHeight="1">
      <c r="A25" s="35"/>
      <c r="B25" s="35"/>
      <c r="C25" s="36"/>
      <c r="D25" s="37"/>
      <c r="E25" s="35"/>
      <c r="F25" s="35"/>
      <c r="G25" s="35"/>
      <c r="H25" s="35"/>
    </row>
    <row r="26" ht="15.75" customHeight="1">
      <c r="A26" s="35"/>
      <c r="B26" s="35"/>
      <c r="C26" s="36"/>
      <c r="D26" s="37"/>
      <c r="E26" s="35"/>
      <c r="F26" s="35"/>
      <c r="G26" s="35"/>
      <c r="H26" s="35"/>
    </row>
    <row r="27" ht="15.75" customHeight="1">
      <c r="A27" s="35"/>
      <c r="B27" s="35"/>
      <c r="C27" s="36"/>
      <c r="D27" s="37"/>
      <c r="E27" s="35"/>
      <c r="F27" s="35"/>
      <c r="G27" s="35"/>
      <c r="H27" s="35"/>
    </row>
    <row r="28" ht="15.75" customHeight="1">
      <c r="A28" s="35"/>
      <c r="B28" s="35"/>
      <c r="C28" s="36"/>
      <c r="D28" s="37"/>
      <c r="E28" s="35"/>
      <c r="F28" s="35"/>
      <c r="G28" s="35"/>
      <c r="H28" s="35"/>
    </row>
    <row r="29" ht="15.75" customHeight="1">
      <c r="A29" s="35"/>
      <c r="B29" s="35"/>
      <c r="C29" s="36"/>
      <c r="D29" s="37"/>
      <c r="E29" s="35"/>
      <c r="F29" s="35"/>
      <c r="G29" s="35"/>
      <c r="H29" s="35"/>
    </row>
    <row r="30" ht="15.75" customHeight="1">
      <c r="A30" s="35"/>
      <c r="B30" s="35"/>
      <c r="C30" s="36"/>
      <c r="D30" s="37"/>
      <c r="E30" s="35"/>
      <c r="F30" s="35"/>
      <c r="G30" s="35"/>
      <c r="H30" s="35"/>
    </row>
    <row r="31" ht="15.75" customHeight="1">
      <c r="A31" s="35"/>
      <c r="B31" s="35"/>
      <c r="C31" s="36"/>
      <c r="D31" s="37"/>
      <c r="E31" s="35"/>
      <c r="F31" s="35"/>
      <c r="G31" s="35"/>
      <c r="H31" s="35"/>
    </row>
    <row r="32" ht="15.75" customHeight="1">
      <c r="A32" s="35"/>
      <c r="B32" s="35"/>
      <c r="C32" s="36"/>
      <c r="D32" s="37"/>
      <c r="E32" s="35"/>
      <c r="F32" s="35"/>
      <c r="G32" s="35"/>
      <c r="H32" s="35"/>
    </row>
    <row r="33" ht="15.75" customHeight="1">
      <c r="A33" s="35"/>
      <c r="B33" s="35"/>
      <c r="C33" s="36"/>
      <c r="D33" s="37"/>
      <c r="E33" s="35"/>
      <c r="F33" s="35"/>
      <c r="G33" s="35"/>
      <c r="H33" s="35"/>
    </row>
    <row r="34" ht="15.75" customHeight="1">
      <c r="A34" s="35"/>
      <c r="B34" s="35"/>
      <c r="C34" s="36"/>
      <c r="D34" s="37"/>
      <c r="E34" s="35"/>
      <c r="F34" s="35"/>
      <c r="G34" s="35"/>
      <c r="H34" s="35"/>
    </row>
    <row r="35" ht="15.75" customHeight="1">
      <c r="A35" s="35"/>
      <c r="B35" s="35"/>
      <c r="C35" s="36"/>
      <c r="D35" s="37"/>
      <c r="E35" s="35"/>
      <c r="F35" s="35"/>
      <c r="G35" s="35"/>
      <c r="H35" s="35"/>
    </row>
    <row r="36" ht="15.75" customHeight="1">
      <c r="A36" s="35"/>
      <c r="B36" s="35"/>
      <c r="C36" s="36"/>
      <c r="D36" s="37"/>
      <c r="E36" s="35"/>
      <c r="F36" s="35"/>
      <c r="G36" s="35"/>
      <c r="H36" s="35"/>
    </row>
    <row r="37" ht="15.75" customHeight="1">
      <c r="A37" s="35"/>
      <c r="B37" s="35"/>
      <c r="C37" s="36"/>
      <c r="D37" s="37"/>
      <c r="E37" s="35"/>
      <c r="F37" s="35"/>
      <c r="G37" s="35"/>
      <c r="H37" s="35"/>
    </row>
    <row r="38" ht="15.75" customHeight="1">
      <c r="A38" s="35"/>
      <c r="B38" s="35"/>
      <c r="C38" s="36"/>
      <c r="D38" s="37"/>
      <c r="E38" s="35"/>
      <c r="F38" s="35"/>
      <c r="G38" s="35"/>
      <c r="H38" s="35"/>
    </row>
    <row r="39" ht="15.75" customHeight="1">
      <c r="A39" s="35"/>
      <c r="B39" s="35"/>
      <c r="C39" s="36"/>
      <c r="D39" s="37"/>
      <c r="E39" s="35"/>
      <c r="F39" s="35"/>
      <c r="G39" s="35"/>
      <c r="H39" s="35"/>
    </row>
    <row r="40" ht="15.75" customHeight="1">
      <c r="A40" s="35"/>
      <c r="B40" s="35"/>
      <c r="C40" s="36"/>
      <c r="D40" s="37"/>
      <c r="E40" s="35"/>
      <c r="F40" s="35"/>
      <c r="G40" s="35"/>
      <c r="H40" s="35"/>
    </row>
    <row r="41" ht="15.75" customHeight="1">
      <c r="A41" s="35"/>
      <c r="B41" s="35"/>
      <c r="C41" s="36"/>
      <c r="D41" s="37"/>
      <c r="E41" s="35"/>
      <c r="F41" s="35"/>
      <c r="G41" s="35"/>
      <c r="H41" s="35"/>
    </row>
    <row r="42" ht="15.75" customHeight="1">
      <c r="A42" s="35"/>
      <c r="B42" s="35"/>
      <c r="C42" s="36"/>
      <c r="D42" s="37"/>
      <c r="E42" s="35"/>
      <c r="F42" s="35"/>
      <c r="G42" s="35"/>
      <c r="H42" s="35"/>
    </row>
    <row r="43" ht="15.75" customHeight="1">
      <c r="A43" s="35"/>
      <c r="B43" s="35"/>
      <c r="C43" s="36"/>
      <c r="D43" s="37"/>
      <c r="E43" s="35"/>
      <c r="F43" s="35"/>
      <c r="G43" s="35"/>
      <c r="H43" s="35"/>
    </row>
    <row r="44" ht="15.75" customHeight="1">
      <c r="A44" s="35"/>
      <c r="B44" s="35"/>
      <c r="C44" s="36"/>
      <c r="D44" s="37"/>
      <c r="E44" s="35"/>
      <c r="F44" s="35"/>
      <c r="G44" s="35"/>
      <c r="H44" s="35"/>
    </row>
    <row r="45" ht="15.75" customHeight="1">
      <c r="A45" s="35"/>
      <c r="B45" s="35"/>
      <c r="C45" s="36"/>
      <c r="D45" s="37"/>
      <c r="E45" s="35"/>
      <c r="F45" s="35"/>
      <c r="G45" s="35"/>
      <c r="H45" s="35"/>
    </row>
    <row r="46" ht="15.75" customHeight="1">
      <c r="A46" s="35"/>
      <c r="B46" s="35"/>
      <c r="C46" s="36"/>
      <c r="D46" s="37"/>
      <c r="E46" s="35"/>
      <c r="F46" s="35"/>
      <c r="G46" s="35"/>
      <c r="H46" s="35"/>
    </row>
    <row r="47" ht="15.75" customHeight="1">
      <c r="A47" s="35"/>
      <c r="B47" s="35"/>
      <c r="C47" s="36"/>
      <c r="D47" s="37"/>
      <c r="E47" s="35"/>
      <c r="F47" s="35"/>
      <c r="G47" s="35"/>
      <c r="H47" s="35"/>
    </row>
    <row r="48" ht="15.75" customHeight="1">
      <c r="A48" s="35"/>
      <c r="B48" s="35"/>
      <c r="C48" s="36"/>
      <c r="D48" s="37"/>
      <c r="E48" s="35"/>
      <c r="F48" s="35"/>
      <c r="G48" s="35"/>
      <c r="H48" s="35"/>
    </row>
    <row r="49" ht="15.75" customHeight="1">
      <c r="A49" s="35"/>
      <c r="B49" s="35"/>
      <c r="C49" s="36"/>
      <c r="D49" s="37"/>
      <c r="E49" s="35"/>
      <c r="F49" s="35"/>
      <c r="G49" s="35"/>
      <c r="H49" s="35"/>
    </row>
    <row r="50" ht="15.75" customHeight="1">
      <c r="A50" s="35"/>
      <c r="B50" s="35"/>
      <c r="C50" s="36"/>
      <c r="D50" s="37"/>
      <c r="E50" s="35"/>
      <c r="F50" s="35"/>
      <c r="G50" s="35"/>
      <c r="H50" s="35"/>
    </row>
    <row r="51" ht="15.75" customHeight="1">
      <c r="A51" s="35"/>
      <c r="B51" s="35"/>
      <c r="C51" s="36"/>
      <c r="D51" s="37"/>
      <c r="E51" s="35"/>
      <c r="F51" s="35"/>
      <c r="G51" s="35"/>
      <c r="H51" s="35"/>
    </row>
    <row r="52" ht="15.75" customHeight="1">
      <c r="A52" s="35"/>
      <c r="B52" s="35"/>
      <c r="C52" s="36"/>
      <c r="D52" s="37"/>
      <c r="E52" s="35"/>
      <c r="F52" s="35"/>
      <c r="G52" s="35"/>
      <c r="H52" s="35"/>
    </row>
    <row r="53" ht="15.75" customHeight="1">
      <c r="A53" s="35"/>
      <c r="B53" s="35"/>
      <c r="C53" s="36"/>
      <c r="D53" s="37"/>
      <c r="E53" s="35"/>
      <c r="F53" s="35"/>
      <c r="G53" s="35"/>
      <c r="H53" s="35"/>
    </row>
    <row r="54" ht="15.75" customHeight="1">
      <c r="A54" s="35"/>
      <c r="B54" s="35"/>
      <c r="C54" s="36"/>
      <c r="D54" s="37"/>
      <c r="E54" s="35"/>
      <c r="F54" s="35"/>
      <c r="G54" s="35"/>
      <c r="H54" s="35"/>
    </row>
    <row r="55" ht="15.75" customHeight="1">
      <c r="A55" s="35"/>
      <c r="B55" s="35"/>
      <c r="C55" s="36"/>
      <c r="D55" s="37"/>
      <c r="E55" s="35"/>
      <c r="F55" s="35"/>
      <c r="G55" s="35"/>
      <c r="H55" s="35"/>
    </row>
    <row r="56" ht="15.75" customHeight="1">
      <c r="A56" s="35"/>
      <c r="B56" s="35"/>
      <c r="C56" s="36"/>
      <c r="D56" s="37"/>
      <c r="E56" s="35"/>
      <c r="F56" s="35"/>
      <c r="G56" s="35"/>
      <c r="H56" s="35"/>
    </row>
    <row r="57" ht="15.75" customHeight="1">
      <c r="A57" s="35"/>
      <c r="B57" s="35"/>
      <c r="C57" s="36"/>
      <c r="D57" s="37"/>
      <c r="E57" s="35"/>
      <c r="F57" s="35"/>
      <c r="G57" s="35"/>
      <c r="H57" s="35"/>
    </row>
    <row r="58" ht="15.75" customHeight="1">
      <c r="A58" s="35"/>
      <c r="B58" s="35"/>
      <c r="C58" s="36"/>
      <c r="D58" s="37"/>
      <c r="E58" s="35"/>
      <c r="F58" s="35"/>
      <c r="G58" s="35"/>
      <c r="H58" s="35"/>
    </row>
    <row r="59" ht="15.75" customHeight="1">
      <c r="A59" s="35"/>
      <c r="B59" s="35"/>
      <c r="C59" s="36"/>
      <c r="D59" s="37"/>
      <c r="E59" s="35"/>
      <c r="F59" s="35"/>
      <c r="G59" s="35"/>
      <c r="H59" s="35"/>
    </row>
    <row r="60" ht="15.75" customHeight="1">
      <c r="A60" s="35"/>
      <c r="B60" s="35"/>
      <c r="C60" s="36"/>
      <c r="D60" s="37"/>
      <c r="E60" s="35"/>
      <c r="F60" s="35"/>
      <c r="G60" s="35"/>
      <c r="H60" s="35"/>
    </row>
    <row r="61" ht="15.75" customHeight="1">
      <c r="A61" s="35"/>
      <c r="B61" s="35"/>
      <c r="C61" s="36"/>
      <c r="D61" s="37"/>
      <c r="E61" s="35"/>
      <c r="F61" s="35"/>
      <c r="G61" s="35"/>
      <c r="H61" s="35"/>
    </row>
    <row r="62" ht="15.75" customHeight="1">
      <c r="A62" s="35"/>
      <c r="B62" s="35"/>
      <c r="C62" s="36"/>
      <c r="D62" s="37"/>
      <c r="E62" s="35"/>
      <c r="F62" s="35"/>
      <c r="G62" s="35"/>
      <c r="H62" s="35"/>
    </row>
    <row r="63" ht="15.75" customHeight="1">
      <c r="A63" s="35"/>
      <c r="B63" s="35"/>
      <c r="C63" s="36"/>
      <c r="D63" s="37"/>
      <c r="E63" s="35"/>
      <c r="F63" s="35"/>
      <c r="G63" s="35"/>
      <c r="H63" s="35"/>
    </row>
    <row r="64" ht="15.75" customHeight="1">
      <c r="A64" s="35"/>
      <c r="B64" s="35"/>
      <c r="C64" s="36"/>
      <c r="D64" s="37"/>
      <c r="E64" s="35"/>
      <c r="F64" s="35"/>
      <c r="G64" s="35"/>
      <c r="H64" s="35"/>
    </row>
    <row r="65" ht="15.75" customHeight="1">
      <c r="A65" s="35"/>
      <c r="B65" s="35"/>
      <c r="C65" s="36"/>
      <c r="D65" s="37"/>
      <c r="E65" s="35"/>
      <c r="F65" s="35"/>
      <c r="G65" s="35"/>
      <c r="H65" s="35"/>
    </row>
    <row r="66" ht="15.75" customHeight="1">
      <c r="A66" s="35"/>
      <c r="B66" s="35"/>
      <c r="C66" s="36"/>
      <c r="D66" s="37"/>
      <c r="E66" s="35"/>
      <c r="F66" s="35"/>
      <c r="G66" s="35"/>
      <c r="H66" s="35"/>
    </row>
    <row r="67" ht="15.75" customHeight="1">
      <c r="A67" s="35"/>
      <c r="B67" s="35"/>
      <c r="C67" s="36"/>
      <c r="D67" s="37"/>
      <c r="E67" s="35"/>
      <c r="F67" s="35"/>
      <c r="G67" s="35"/>
      <c r="H67" s="35"/>
    </row>
    <row r="68" ht="15.75" customHeight="1">
      <c r="A68" s="35"/>
      <c r="B68" s="35"/>
      <c r="C68" s="36"/>
      <c r="D68" s="37"/>
      <c r="E68" s="35"/>
      <c r="F68" s="35"/>
      <c r="G68" s="35"/>
      <c r="H68" s="35"/>
    </row>
    <row r="69" ht="15.75" customHeight="1">
      <c r="A69" s="35"/>
      <c r="B69" s="35"/>
      <c r="C69" s="36"/>
      <c r="D69" s="37"/>
      <c r="E69" s="35"/>
      <c r="F69" s="35"/>
      <c r="G69" s="35"/>
      <c r="H69" s="35"/>
    </row>
    <row r="70" ht="15.75" customHeight="1">
      <c r="A70" s="35"/>
      <c r="B70" s="35"/>
      <c r="C70" s="36"/>
      <c r="D70" s="37"/>
      <c r="E70" s="35"/>
      <c r="F70" s="35"/>
      <c r="G70" s="35"/>
      <c r="H70" s="35"/>
    </row>
    <row r="71" ht="15.75" customHeight="1">
      <c r="A71" s="35"/>
      <c r="B71" s="35"/>
      <c r="C71" s="36"/>
      <c r="D71" s="37"/>
      <c r="E71" s="35"/>
      <c r="F71" s="35"/>
      <c r="G71" s="35"/>
      <c r="H71" s="35"/>
    </row>
    <row r="72" ht="15.75" customHeight="1">
      <c r="A72" s="35"/>
      <c r="B72" s="35"/>
      <c r="C72" s="36"/>
      <c r="D72" s="37"/>
      <c r="E72" s="35"/>
      <c r="F72" s="35"/>
      <c r="G72" s="35"/>
      <c r="H72" s="35"/>
    </row>
    <row r="73" ht="15.75" customHeight="1">
      <c r="A73" s="35"/>
      <c r="B73" s="35"/>
      <c r="C73" s="36"/>
      <c r="D73" s="37"/>
      <c r="E73" s="35"/>
      <c r="F73" s="35"/>
      <c r="G73" s="35"/>
      <c r="H73" s="35"/>
    </row>
    <row r="74" ht="15.75" customHeight="1">
      <c r="A74" s="35"/>
      <c r="B74" s="35"/>
      <c r="C74" s="36"/>
      <c r="D74" s="37"/>
      <c r="E74" s="35"/>
      <c r="F74" s="35"/>
      <c r="G74" s="35"/>
      <c r="H74" s="35"/>
    </row>
    <row r="75" ht="15.75" customHeight="1">
      <c r="A75" s="35"/>
      <c r="B75" s="35"/>
      <c r="C75" s="36"/>
      <c r="D75" s="37"/>
      <c r="E75" s="35"/>
      <c r="F75" s="35"/>
      <c r="G75" s="35"/>
      <c r="H75" s="35"/>
    </row>
    <row r="76" ht="15.75" customHeight="1">
      <c r="A76" s="35"/>
      <c r="B76" s="35"/>
      <c r="C76" s="36"/>
      <c r="D76" s="37"/>
      <c r="E76" s="35"/>
      <c r="F76" s="35"/>
      <c r="G76" s="35"/>
      <c r="H76" s="35"/>
    </row>
    <row r="77" ht="15.75" customHeight="1">
      <c r="A77" s="35"/>
      <c r="B77" s="35"/>
      <c r="C77" s="36"/>
      <c r="D77" s="37"/>
      <c r="E77" s="35"/>
      <c r="F77" s="35"/>
      <c r="G77" s="35"/>
      <c r="H77" s="35"/>
    </row>
    <row r="78" ht="15.75" customHeight="1">
      <c r="A78" s="35"/>
      <c r="B78" s="35"/>
      <c r="C78" s="36"/>
      <c r="D78" s="37"/>
      <c r="E78" s="35"/>
      <c r="F78" s="35"/>
      <c r="G78" s="35"/>
      <c r="H78" s="35"/>
    </row>
    <row r="79" ht="15.75" customHeight="1">
      <c r="A79" s="35"/>
      <c r="B79" s="35"/>
      <c r="C79" s="36"/>
      <c r="D79" s="37"/>
      <c r="E79" s="35"/>
      <c r="F79" s="35"/>
      <c r="G79" s="35"/>
      <c r="H79" s="35"/>
    </row>
    <row r="80" ht="15.75" customHeight="1">
      <c r="A80" s="35"/>
      <c r="B80" s="35"/>
      <c r="C80" s="36"/>
      <c r="D80" s="37"/>
      <c r="E80" s="35"/>
      <c r="F80" s="35"/>
      <c r="G80" s="35"/>
      <c r="H80" s="35"/>
    </row>
    <row r="81" ht="15.75" customHeight="1">
      <c r="A81" s="35"/>
      <c r="B81" s="35"/>
      <c r="C81" s="36"/>
      <c r="D81" s="37"/>
      <c r="E81" s="35"/>
      <c r="F81" s="35"/>
      <c r="G81" s="35"/>
      <c r="H81" s="35"/>
    </row>
    <row r="82" ht="15.75" customHeight="1">
      <c r="A82" s="35"/>
      <c r="B82" s="35"/>
      <c r="C82" s="36"/>
      <c r="D82" s="37"/>
      <c r="E82" s="35"/>
      <c r="F82" s="35"/>
      <c r="G82" s="35"/>
      <c r="H82" s="35"/>
    </row>
    <row r="83" ht="15.75" customHeight="1">
      <c r="A83" s="35"/>
      <c r="B83" s="35"/>
      <c r="C83" s="36"/>
      <c r="D83" s="37"/>
      <c r="E83" s="35"/>
      <c r="F83" s="35"/>
      <c r="G83" s="35"/>
      <c r="H83" s="35"/>
    </row>
    <row r="84" ht="15.75" customHeight="1">
      <c r="A84" s="35"/>
      <c r="B84" s="35"/>
      <c r="C84" s="36"/>
      <c r="D84" s="37"/>
      <c r="E84" s="35"/>
      <c r="F84" s="35"/>
      <c r="G84" s="35"/>
      <c r="H84" s="35"/>
    </row>
    <row r="85" ht="15.75" customHeight="1">
      <c r="A85" s="35"/>
      <c r="B85" s="35"/>
      <c r="C85" s="36"/>
      <c r="D85" s="37"/>
      <c r="E85" s="35"/>
      <c r="F85" s="35"/>
      <c r="G85" s="35"/>
      <c r="H85" s="35"/>
    </row>
    <row r="86" ht="15.75" customHeight="1">
      <c r="A86" s="35"/>
      <c r="B86" s="35"/>
      <c r="C86" s="36"/>
      <c r="D86" s="37"/>
      <c r="E86" s="35"/>
      <c r="F86" s="35"/>
      <c r="G86" s="35"/>
      <c r="H86" s="35"/>
    </row>
    <row r="87" ht="15.75" customHeight="1">
      <c r="A87" s="35"/>
      <c r="B87" s="35"/>
      <c r="C87" s="36"/>
      <c r="D87" s="37"/>
      <c r="E87" s="35"/>
      <c r="F87" s="35"/>
      <c r="G87" s="35"/>
      <c r="H87" s="35"/>
    </row>
    <row r="88" ht="15.75" customHeight="1">
      <c r="A88" s="35"/>
      <c r="B88" s="35"/>
      <c r="C88" s="36"/>
      <c r="D88" s="37"/>
      <c r="E88" s="35"/>
      <c r="F88" s="35"/>
      <c r="G88" s="35"/>
      <c r="H88" s="35"/>
    </row>
    <row r="89" ht="15.75" customHeight="1">
      <c r="A89" s="35"/>
      <c r="B89" s="35"/>
      <c r="C89" s="36"/>
      <c r="D89" s="37"/>
      <c r="E89" s="35"/>
      <c r="F89" s="35"/>
      <c r="G89" s="35"/>
      <c r="H89" s="35"/>
    </row>
    <row r="90" ht="15.75" customHeight="1">
      <c r="A90" s="35"/>
      <c r="B90" s="35"/>
      <c r="C90" s="36"/>
      <c r="D90" s="37"/>
      <c r="E90" s="35"/>
      <c r="F90" s="35"/>
      <c r="G90" s="35"/>
      <c r="H90" s="35"/>
    </row>
    <row r="91" ht="15.75" customHeight="1">
      <c r="A91" s="35"/>
      <c r="B91" s="35"/>
      <c r="C91" s="36"/>
      <c r="D91" s="37"/>
      <c r="E91" s="35"/>
      <c r="F91" s="35"/>
      <c r="G91" s="35"/>
      <c r="H91" s="35"/>
    </row>
    <row r="92" ht="15.75" customHeight="1">
      <c r="A92" s="35"/>
      <c r="B92" s="35"/>
      <c r="C92" s="36"/>
      <c r="D92" s="37"/>
      <c r="E92" s="35"/>
      <c r="F92" s="35"/>
      <c r="G92" s="35"/>
      <c r="H92" s="35"/>
    </row>
    <row r="93" ht="15.75" customHeight="1">
      <c r="A93" s="35"/>
      <c r="B93" s="35"/>
      <c r="C93" s="36"/>
      <c r="D93" s="37"/>
      <c r="E93" s="35"/>
      <c r="F93" s="35"/>
      <c r="G93" s="35"/>
      <c r="H93" s="35"/>
    </row>
    <row r="94" ht="15.75" customHeight="1">
      <c r="A94" s="35"/>
      <c r="B94" s="35"/>
      <c r="C94" s="36"/>
      <c r="D94" s="37"/>
      <c r="E94" s="35"/>
      <c r="F94" s="35"/>
      <c r="G94" s="35"/>
      <c r="H94" s="35"/>
    </row>
    <row r="95" ht="15.75" customHeight="1">
      <c r="A95" s="35"/>
      <c r="B95" s="35"/>
      <c r="C95" s="36"/>
      <c r="D95" s="37"/>
      <c r="E95" s="35"/>
      <c r="F95" s="35"/>
      <c r="G95" s="35"/>
      <c r="H95" s="35"/>
    </row>
    <row r="96" ht="15.75" customHeight="1">
      <c r="A96" s="35"/>
      <c r="B96" s="35"/>
      <c r="C96" s="36"/>
      <c r="D96" s="37"/>
      <c r="E96" s="35"/>
      <c r="F96" s="35"/>
      <c r="G96" s="35"/>
      <c r="H96" s="35"/>
    </row>
    <row r="97" ht="15.75" customHeight="1">
      <c r="A97" s="35"/>
      <c r="B97" s="35"/>
      <c r="C97" s="36"/>
      <c r="D97" s="37"/>
      <c r="E97" s="35"/>
      <c r="F97" s="35"/>
      <c r="G97" s="35"/>
      <c r="H97" s="35"/>
    </row>
    <row r="98" ht="15.75" customHeight="1">
      <c r="A98" s="35"/>
      <c r="B98" s="35"/>
      <c r="C98" s="36"/>
      <c r="D98" s="37"/>
      <c r="E98" s="35"/>
      <c r="F98" s="35"/>
      <c r="G98" s="35"/>
      <c r="H98" s="35"/>
    </row>
    <row r="99" ht="15.75" customHeight="1">
      <c r="A99" s="35"/>
      <c r="B99" s="35"/>
      <c r="C99" s="36"/>
      <c r="D99" s="37"/>
      <c r="E99" s="35"/>
      <c r="F99" s="35"/>
      <c r="G99" s="35"/>
      <c r="H99" s="35"/>
    </row>
    <row r="100" ht="15.75" customHeight="1">
      <c r="A100" s="35"/>
      <c r="B100" s="35"/>
      <c r="C100" s="36"/>
      <c r="D100" s="37"/>
      <c r="E100" s="35"/>
      <c r="F100" s="35"/>
      <c r="G100" s="35"/>
      <c r="H100" s="35"/>
    </row>
    <row r="101" ht="15.75" customHeight="1">
      <c r="A101" s="35"/>
      <c r="B101" s="35"/>
      <c r="C101" s="36"/>
      <c r="D101" s="37"/>
      <c r="E101" s="35"/>
      <c r="F101" s="35"/>
      <c r="G101" s="35"/>
      <c r="H101" s="35"/>
    </row>
    <row r="102" ht="15.75" customHeight="1">
      <c r="A102" s="35"/>
      <c r="B102" s="35"/>
      <c r="C102" s="36"/>
      <c r="D102" s="37"/>
      <c r="E102" s="35"/>
      <c r="F102" s="35"/>
      <c r="G102" s="35"/>
      <c r="H102" s="35"/>
    </row>
    <row r="103" ht="15.75" customHeight="1">
      <c r="A103" s="35"/>
      <c r="B103" s="35"/>
      <c r="C103" s="36"/>
      <c r="D103" s="37"/>
      <c r="E103" s="35"/>
      <c r="F103" s="35"/>
      <c r="G103" s="35"/>
      <c r="H103" s="35"/>
    </row>
  </sheetData>
  <mergeCells count="1">
    <mergeCell ref="A1:H1"/>
  </mergeCells>
  <conditionalFormatting sqref="A4:H103">
    <cfRule type="expression" dxfId="0" priority="1">
      <formula>AND($G4="是",$F4="否",$D4&lt;TODAY())</formula>
    </cfRule>
  </conditionalFormatting>
  <dataValidations>
    <dataValidation type="decimal" operator="greaterThan" allowBlank="1" sqref="C4:C103">
      <formula1>0.0</formula1>
    </dataValidation>
  </dataValidation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8.75"/>
    <col customWidth="1" min="3" max="3" width="10.5"/>
    <col customWidth="1" min="4" max="5" width="14.0"/>
    <col customWidth="1" min="6" max="6" width="15.75"/>
    <col customWidth="1" min="7" max="7" width="14.0"/>
    <col customWidth="1" min="8" max="9" width="15.75"/>
    <col customWidth="1" min="10" max="10" width="17.5"/>
    <col customWidth="1" min="11" max="20" width="7.63"/>
  </cols>
  <sheetData>
    <row r="1">
      <c r="A1" s="24" t="s">
        <v>46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47</v>
      </c>
    </row>
    <row r="4">
      <c r="A4" s="38" t="s">
        <v>34</v>
      </c>
      <c r="B4" s="38" t="s">
        <v>48</v>
      </c>
      <c r="C4" s="38" t="s">
        <v>49</v>
      </c>
      <c r="D4" s="38" t="s">
        <v>50</v>
      </c>
      <c r="E4" s="38" t="s">
        <v>51</v>
      </c>
      <c r="F4" s="38" t="s">
        <v>52</v>
      </c>
      <c r="G4" s="38" t="s">
        <v>53</v>
      </c>
      <c r="H4" s="38" t="s">
        <v>54</v>
      </c>
      <c r="I4" s="38" t="s">
        <v>55</v>
      </c>
      <c r="J4" s="38" t="s">
        <v>56</v>
      </c>
    </row>
    <row r="5">
      <c r="A5" s="39" t="str">
        <f>IF(1&lt;='月度總覽'!$F$5,'月度總覽'!$B$5+1-1,"")</f>
        <v>2026-07-28</v>
      </c>
      <c r="B5" t="str">
        <f t="shared" ref="B5:B370" si="1">IF(A5="","",TEXT(A5,"aaa"))</f>
        <v>aaa</v>
      </c>
      <c r="C5" t="str">
        <f>IF(A5="","",IF(A5&lt;'月度總覽'!$F$6,"已過",IF(A5='月度總覽'!$F$6,"基準日","未來")))</f>
        <v>基準日</v>
      </c>
      <c r="D5" s="40" t="str">
        <f>IF(A5="","",IF(A5='月度總覽'!$B$8,'月度總覽'!$B$9,0))</f>
        <v>0.00</v>
      </c>
      <c r="E5" s="40" t="str">
        <f>IF(A5="","",SUMIFS('收支明細'!$E:$E,'收支明細'!$B:$B,"收入",'收支明細'!$A:$A,A5))</f>
        <v>0.00</v>
      </c>
      <c r="F5" s="40" t="str">
        <f>IF(A5="","",SUMIFS('固定支出'!$C:$C,'固定支出'!$G:$G,"是",'固定支出'!$D:$D,A5))</f>
        <v>0.00</v>
      </c>
      <c r="G5" s="40" t="str">
        <f>IF(A5="","",SUMIFS('收支明細'!$E:$E,'收支明細'!$B:$B,"支出",'收支明細'!$A:$A,A5))</f>
        <v>0.00</v>
      </c>
      <c r="H5" s="40" t="str">
        <f>IF(OR(A5="",A5&lt;'月度總覽'!$F$6),0,'月度總覽'!$F$13)</f>
        <v>909.09</v>
      </c>
      <c r="I5" s="40" t="str">
        <f t="shared" ref="I5:I370" si="2">IF(A5="","",D5+E5-G5)</f>
        <v>0.00</v>
      </c>
      <c r="J5" s="40" t="str">
        <f>IF(OR(A5="",A5&lt;'月度總覽'!$F$6),"",'月度總覽'!$F$12-SUM($H$5:H5)+IF(AND('月度總覽'!$B$10="到帳日自動計入",'月度總覽'!$B$8&gt;'月度總覽'!$B$7,'月度總覽'!$B$8&lt;=A5),'月度總覽'!$B$9,0)+SUMIFS($E$5:E5,$A$5:A5,"&gt;"&amp;'月度總覽'!$B$7)-SUMIFS($G$5:G5,$A$5:A5,"&gt;"&amp;'月度總覽'!$B$7))</f>
        <v>9,090.91</v>
      </c>
    </row>
    <row r="6">
      <c r="A6" s="39" t="str">
        <f>IF(2&lt;='月度總覽'!$F$5,'月度總覽'!$B$5+2-1,"")</f>
        <v>2026-07-29</v>
      </c>
      <c r="B6" t="str">
        <f t="shared" si="1"/>
        <v>aaa</v>
      </c>
      <c r="C6" t="str">
        <f>IF(A6="","",IF(A6&lt;'月度總覽'!$F$6,"已過",IF(A6='月度總覽'!$F$6,"基準日","未來")))</f>
        <v>未來</v>
      </c>
      <c r="D6" s="40" t="str">
        <f>IF(A6="","",IF(A6='月度總覽'!$B$8,'月度總覽'!$B$9,0))</f>
        <v>0.00</v>
      </c>
      <c r="E6" s="40" t="str">
        <f>IF(A6="","",SUMIFS('收支明細'!$E:$E,'收支明細'!$B:$B,"收入",'收支明細'!$A:$A,A6))</f>
        <v>0.00</v>
      </c>
      <c r="F6" s="40" t="str">
        <f>IF(A6="","",SUMIFS('固定支出'!$C:$C,'固定支出'!$G:$G,"是",'固定支出'!$D:$D,A6))</f>
        <v>0.00</v>
      </c>
      <c r="G6" s="40" t="str">
        <f>IF(A6="","",SUMIFS('收支明細'!$E:$E,'收支明細'!$B:$B,"支出",'收支明細'!$A:$A,A6))</f>
        <v>0.00</v>
      </c>
      <c r="H6" s="40" t="str">
        <f>IF(OR(A6="",A6&lt;'月度總覽'!$F$6),0,'月度總覽'!$F$13)</f>
        <v>909.09</v>
      </c>
      <c r="I6" s="40" t="str">
        <f t="shared" si="2"/>
        <v>0.00</v>
      </c>
      <c r="J6" s="40" t="str">
        <f>IF(OR(A6="",A6&lt;'月度總覽'!$F$6),"",'月度總覽'!$F$12-SUM($H$5:H6)+IF(AND('月度總覽'!$B$10="到帳日自動計入",'月度總覽'!$B$8&gt;'月度總覽'!$B$7,'月度總覽'!$B$8&lt;=A6),'月度總覽'!$B$9,0)+SUMIFS($E$5:E6,$A$5:A6,"&gt;"&amp;'月度總覽'!$B$7)-SUMIFS($G$5:G6,$A$5:A6,"&gt;"&amp;'月度總覽'!$B$7))</f>
        <v>8,181.82</v>
      </c>
    </row>
    <row r="7">
      <c r="A7" s="39" t="str">
        <f>IF(3&lt;='月度總覽'!$F$5,'月度總覽'!$B$5+3-1,"")</f>
        <v>2026-07-30</v>
      </c>
      <c r="B7" t="str">
        <f t="shared" si="1"/>
        <v>aaa</v>
      </c>
      <c r="C7" t="str">
        <f>IF(A7="","",IF(A7&lt;'月度總覽'!$F$6,"已過",IF(A7='月度總覽'!$F$6,"基準日","未來")))</f>
        <v>未來</v>
      </c>
      <c r="D7" s="40" t="str">
        <f>IF(A7="","",IF(A7='月度總覽'!$B$8,'月度總覽'!$B$9,0))</f>
        <v>0.00</v>
      </c>
      <c r="E7" s="40" t="str">
        <f>IF(A7="","",SUMIFS('收支明細'!$E:$E,'收支明細'!$B:$B,"收入",'收支明細'!$A:$A,A7))</f>
        <v>0.00</v>
      </c>
      <c r="F7" s="40" t="str">
        <f>IF(A7="","",SUMIFS('固定支出'!$C:$C,'固定支出'!$G:$G,"是",'固定支出'!$D:$D,A7))</f>
        <v>0.00</v>
      </c>
      <c r="G7" s="40" t="str">
        <f>IF(A7="","",SUMIFS('收支明細'!$E:$E,'收支明細'!$B:$B,"支出",'收支明細'!$A:$A,A7))</f>
        <v>0.00</v>
      </c>
      <c r="H7" s="40" t="str">
        <f>IF(OR(A7="",A7&lt;'月度總覽'!$F$6),0,'月度總覽'!$F$13)</f>
        <v>909.09</v>
      </c>
      <c r="I7" s="40" t="str">
        <f t="shared" si="2"/>
        <v>0.00</v>
      </c>
      <c r="J7" s="40" t="str">
        <f>IF(OR(A7="",A7&lt;'月度總覽'!$F$6),"",'月度總覽'!$F$12-SUM($H$5:H7)+IF(AND('月度總覽'!$B$10="到帳日自動計入",'月度總覽'!$B$8&gt;'月度總覽'!$B$7,'月度總覽'!$B$8&lt;=A7),'月度總覽'!$B$9,0)+SUMIFS($E$5:E7,$A$5:A7,"&gt;"&amp;'月度總覽'!$B$7)-SUMIFS($G$5:G7,$A$5:A7,"&gt;"&amp;'月度總覽'!$B$7))</f>
        <v>7,272.73</v>
      </c>
    </row>
    <row r="8">
      <c r="A8" s="39" t="str">
        <f>IF(4&lt;='月度總覽'!$F$5,'月度總覽'!$B$5+4-1,"")</f>
        <v>2026-07-31</v>
      </c>
      <c r="B8" t="str">
        <f t="shared" si="1"/>
        <v>aaa</v>
      </c>
      <c r="C8" t="str">
        <f>IF(A8="","",IF(A8&lt;'月度總覽'!$F$6,"已過",IF(A8='月度總覽'!$F$6,"基準日","未來")))</f>
        <v>未來</v>
      </c>
      <c r="D8" s="40" t="str">
        <f>IF(A8="","",IF(A8='月度總覽'!$B$8,'月度總覽'!$B$9,0))</f>
        <v>0.00</v>
      </c>
      <c r="E8" s="40" t="str">
        <f>IF(A8="","",SUMIFS('收支明細'!$E:$E,'收支明細'!$B:$B,"收入",'收支明細'!$A:$A,A8))</f>
        <v>0.00</v>
      </c>
      <c r="F8" s="40" t="str">
        <f>IF(A8="","",SUMIFS('固定支出'!$C:$C,'固定支出'!$G:$G,"是",'固定支出'!$D:$D,A8))</f>
        <v>0.00</v>
      </c>
      <c r="G8" s="40" t="str">
        <f>IF(A8="","",SUMIFS('收支明細'!$E:$E,'收支明細'!$B:$B,"支出",'收支明細'!$A:$A,A8))</f>
        <v>0.00</v>
      </c>
      <c r="H8" s="40" t="str">
        <f>IF(OR(A8="",A8&lt;'月度總覽'!$F$6),0,'月度總覽'!$F$13)</f>
        <v>909.09</v>
      </c>
      <c r="I8" s="40" t="str">
        <f t="shared" si="2"/>
        <v>0.00</v>
      </c>
      <c r="J8" s="40" t="str">
        <f>IF(OR(A8="",A8&lt;'月度總覽'!$F$6),"",'月度總覽'!$F$12-SUM($H$5:H8)+IF(AND('月度總覽'!$B$10="到帳日自動計入",'月度總覽'!$B$8&gt;'月度總覽'!$B$7,'月度總覽'!$B$8&lt;=A8),'月度總覽'!$B$9,0)+SUMIFS($E$5:E8,$A$5:A8,"&gt;"&amp;'月度總覽'!$B$7)-SUMIFS($G$5:G8,$A$5:A8,"&gt;"&amp;'月度總覽'!$B$7))</f>
        <v>6,363.64</v>
      </c>
    </row>
    <row r="9">
      <c r="A9" s="39" t="str">
        <f>IF(5&lt;='月度總覽'!$F$5,'月度總覽'!$B$5+5-1,"")</f>
        <v>2026-08-01</v>
      </c>
      <c r="B9" t="str">
        <f t="shared" si="1"/>
        <v>aaa</v>
      </c>
      <c r="C9" t="str">
        <f>IF(A9="","",IF(A9&lt;'月度總覽'!$F$6,"已過",IF(A9='月度總覽'!$F$6,"基準日","未來")))</f>
        <v>未來</v>
      </c>
      <c r="D9" s="40" t="str">
        <f>IF(A9="","",IF(A9='月度總覽'!$B$8,'月度總覽'!$B$9,0))</f>
        <v>0.00</v>
      </c>
      <c r="E9" s="40" t="str">
        <f>IF(A9="","",SUMIFS('收支明細'!$E:$E,'收支明細'!$B:$B,"收入",'收支明細'!$A:$A,A9))</f>
        <v>0.00</v>
      </c>
      <c r="F9" s="40" t="str">
        <f>IF(A9="","",SUMIFS('固定支出'!$C:$C,'固定支出'!$G:$G,"是",'固定支出'!$D:$D,A9))</f>
        <v>0.00</v>
      </c>
      <c r="G9" s="40" t="str">
        <f>IF(A9="","",SUMIFS('收支明細'!$E:$E,'收支明細'!$B:$B,"支出",'收支明細'!$A:$A,A9))</f>
        <v>0.00</v>
      </c>
      <c r="H9" s="40" t="str">
        <f>IF(OR(A9="",A9&lt;'月度總覽'!$F$6),0,'月度總覽'!$F$13)</f>
        <v>909.09</v>
      </c>
      <c r="I9" s="40" t="str">
        <f t="shared" si="2"/>
        <v>0.00</v>
      </c>
      <c r="J9" s="40" t="str">
        <f>IF(OR(A9="",A9&lt;'月度總覽'!$F$6),"",'月度總覽'!$F$12-SUM($H$5:H9)+IF(AND('月度總覽'!$B$10="到帳日自動計入",'月度總覽'!$B$8&gt;'月度總覽'!$B$7,'月度總覽'!$B$8&lt;=A9),'月度總覽'!$B$9,0)+SUMIFS($E$5:E9,$A$5:A9,"&gt;"&amp;'月度總覽'!$B$7)-SUMIFS($G$5:G9,$A$5:A9,"&gt;"&amp;'月度總覽'!$B$7))</f>
        <v>5,454.55</v>
      </c>
    </row>
    <row r="10">
      <c r="A10" s="39" t="str">
        <f>IF(6&lt;='月度總覽'!$F$5,'月度總覽'!$B$5+6-1,"")</f>
        <v>2026-08-02</v>
      </c>
      <c r="B10" t="str">
        <f t="shared" si="1"/>
        <v>aaa</v>
      </c>
      <c r="C10" t="str">
        <f>IF(A10="","",IF(A10&lt;'月度總覽'!$F$6,"已過",IF(A10='月度總覽'!$F$6,"基準日","未來")))</f>
        <v>未來</v>
      </c>
      <c r="D10" s="40" t="str">
        <f>IF(A10="","",IF(A10='月度總覽'!$B$8,'月度總覽'!$B$9,0))</f>
        <v>0.00</v>
      </c>
      <c r="E10" s="40" t="str">
        <f>IF(A10="","",SUMIFS('收支明細'!$E:$E,'收支明細'!$B:$B,"收入",'收支明細'!$A:$A,A10))</f>
        <v>0.00</v>
      </c>
      <c r="F10" s="40" t="str">
        <f>IF(A10="","",SUMIFS('固定支出'!$C:$C,'固定支出'!$G:$G,"是",'固定支出'!$D:$D,A10))</f>
        <v>0.00</v>
      </c>
      <c r="G10" s="40" t="str">
        <f>IF(A10="","",SUMIFS('收支明細'!$E:$E,'收支明細'!$B:$B,"支出",'收支明細'!$A:$A,A10))</f>
        <v>0.00</v>
      </c>
      <c r="H10" s="40" t="str">
        <f>IF(OR(A10="",A10&lt;'月度總覽'!$F$6),0,'月度總覽'!$F$13)</f>
        <v>909.09</v>
      </c>
      <c r="I10" s="40" t="str">
        <f t="shared" si="2"/>
        <v>0.00</v>
      </c>
      <c r="J10" s="40" t="str">
        <f>IF(OR(A10="",A10&lt;'月度總覽'!$F$6),"",'月度總覽'!$F$12-SUM($H$5:H10)+IF(AND('月度總覽'!$B$10="到帳日自動計入",'月度總覽'!$B$8&gt;'月度總覽'!$B$7,'月度總覽'!$B$8&lt;=A10),'月度總覽'!$B$9,0)+SUMIFS($E$5:E10,$A$5:A10,"&gt;"&amp;'月度總覽'!$B$7)-SUMIFS($G$5:G10,$A$5:A10,"&gt;"&amp;'月度總覽'!$B$7))</f>
        <v>4,545.45</v>
      </c>
    </row>
    <row r="11">
      <c r="A11" s="39" t="str">
        <f>IF(7&lt;='月度總覽'!$F$5,'月度總覽'!$B$5+7-1,"")</f>
        <v>2026-08-03</v>
      </c>
      <c r="B11" t="str">
        <f t="shared" si="1"/>
        <v>aaa</v>
      </c>
      <c r="C11" t="str">
        <f>IF(A11="","",IF(A11&lt;'月度總覽'!$F$6,"已過",IF(A11='月度總覽'!$F$6,"基準日","未來")))</f>
        <v>未來</v>
      </c>
      <c r="D11" s="40" t="str">
        <f>IF(A11="","",IF(A11='月度總覽'!$B$8,'月度總覽'!$B$9,0))</f>
        <v>0.00</v>
      </c>
      <c r="E11" s="40" t="str">
        <f>IF(A11="","",SUMIFS('收支明細'!$E:$E,'收支明細'!$B:$B,"收入",'收支明細'!$A:$A,A11))</f>
        <v>0.00</v>
      </c>
      <c r="F11" s="40" t="str">
        <f>IF(A11="","",SUMIFS('固定支出'!$C:$C,'固定支出'!$G:$G,"是",'固定支出'!$D:$D,A11))</f>
        <v>0.00</v>
      </c>
      <c r="G11" s="40" t="str">
        <f>IF(A11="","",SUMIFS('收支明細'!$E:$E,'收支明細'!$B:$B,"支出",'收支明細'!$A:$A,A11))</f>
        <v>0.00</v>
      </c>
      <c r="H11" s="40" t="str">
        <f>IF(OR(A11="",A11&lt;'月度總覽'!$F$6),0,'月度總覽'!$F$13)</f>
        <v>909.09</v>
      </c>
      <c r="I11" s="40" t="str">
        <f t="shared" si="2"/>
        <v>0.00</v>
      </c>
      <c r="J11" s="40" t="str">
        <f>IF(OR(A11="",A11&lt;'月度總覽'!$F$6),"",'月度總覽'!$F$12-SUM($H$5:H11)+IF(AND('月度總覽'!$B$10="到帳日自動計入",'月度總覽'!$B$8&gt;'月度總覽'!$B$7,'月度總覽'!$B$8&lt;=A11),'月度總覽'!$B$9,0)+SUMIFS($E$5:E11,$A$5:A11,"&gt;"&amp;'月度總覽'!$B$7)-SUMIFS($G$5:G11,$A$5:A11,"&gt;"&amp;'月度總覽'!$B$7))</f>
        <v>3,636.36</v>
      </c>
    </row>
    <row r="12">
      <c r="A12" s="39" t="str">
        <f>IF(8&lt;='月度總覽'!$F$5,'月度總覽'!$B$5+8-1,"")</f>
        <v>2026-08-04</v>
      </c>
      <c r="B12" t="str">
        <f t="shared" si="1"/>
        <v>aaa</v>
      </c>
      <c r="C12" t="str">
        <f>IF(A12="","",IF(A12&lt;'月度總覽'!$F$6,"已過",IF(A12='月度總覽'!$F$6,"基準日","未來")))</f>
        <v>未來</v>
      </c>
      <c r="D12" s="40" t="str">
        <f>IF(A12="","",IF(A12='月度總覽'!$B$8,'月度總覽'!$B$9,0))</f>
        <v>0.00</v>
      </c>
      <c r="E12" s="40" t="str">
        <f>IF(A12="","",SUMIFS('收支明細'!$E:$E,'收支明細'!$B:$B,"收入",'收支明細'!$A:$A,A12))</f>
        <v>0.00</v>
      </c>
      <c r="F12" s="40" t="str">
        <f>IF(A12="","",SUMIFS('固定支出'!$C:$C,'固定支出'!$G:$G,"是",'固定支出'!$D:$D,A12))</f>
        <v>0.00</v>
      </c>
      <c r="G12" s="40" t="str">
        <f>IF(A12="","",SUMIFS('收支明細'!$E:$E,'收支明細'!$B:$B,"支出",'收支明細'!$A:$A,A12))</f>
        <v>0.00</v>
      </c>
      <c r="H12" s="40" t="str">
        <f>IF(OR(A12="",A12&lt;'月度總覽'!$F$6),0,'月度總覽'!$F$13)</f>
        <v>909.09</v>
      </c>
      <c r="I12" s="40" t="str">
        <f t="shared" si="2"/>
        <v>0.00</v>
      </c>
      <c r="J12" s="40" t="str">
        <f>IF(OR(A12="",A12&lt;'月度總覽'!$F$6),"",'月度總覽'!$F$12-SUM($H$5:H12)+IF(AND('月度總覽'!$B$10="到帳日自動計入",'月度總覽'!$B$8&gt;'月度總覽'!$B$7,'月度總覽'!$B$8&lt;=A12),'月度總覽'!$B$9,0)+SUMIFS($E$5:E12,$A$5:A12,"&gt;"&amp;'月度總覽'!$B$7)-SUMIFS($G$5:G12,$A$5:A12,"&gt;"&amp;'月度總覽'!$B$7))</f>
        <v>2,727.27</v>
      </c>
    </row>
    <row r="13">
      <c r="A13" s="39" t="str">
        <f>IF(9&lt;='月度總覽'!$F$5,'月度總覽'!$B$5+9-1,"")</f>
        <v>2026-08-05</v>
      </c>
      <c r="B13" t="str">
        <f t="shared" si="1"/>
        <v>aaa</v>
      </c>
      <c r="C13" t="str">
        <f>IF(A13="","",IF(A13&lt;'月度總覽'!$F$6,"已過",IF(A13='月度總覽'!$F$6,"基準日","未來")))</f>
        <v>未來</v>
      </c>
      <c r="D13" s="40" t="str">
        <f>IF(A13="","",IF(A13='月度總覽'!$B$8,'月度總覽'!$B$9,0))</f>
        <v>0.00</v>
      </c>
      <c r="E13" s="40" t="str">
        <f>IF(A13="","",SUMIFS('收支明細'!$E:$E,'收支明細'!$B:$B,"收入",'收支明細'!$A:$A,A13))</f>
        <v>0.00</v>
      </c>
      <c r="F13" s="40" t="str">
        <f>IF(A13="","",SUMIFS('固定支出'!$C:$C,'固定支出'!$G:$G,"是",'固定支出'!$D:$D,A13))</f>
        <v>0.00</v>
      </c>
      <c r="G13" s="40" t="str">
        <f>IF(A13="","",SUMIFS('收支明細'!$E:$E,'收支明細'!$B:$B,"支出",'收支明細'!$A:$A,A13))</f>
        <v>0.00</v>
      </c>
      <c r="H13" s="40" t="str">
        <f>IF(OR(A13="",A13&lt;'月度總覽'!$F$6),0,'月度總覽'!$F$13)</f>
        <v>909.09</v>
      </c>
      <c r="I13" s="40" t="str">
        <f t="shared" si="2"/>
        <v>0.00</v>
      </c>
      <c r="J13" s="40" t="str">
        <f>IF(OR(A13="",A13&lt;'月度總覽'!$F$6),"",'月度總覽'!$F$12-SUM($H$5:H13)+IF(AND('月度總覽'!$B$10="到帳日自動計入",'月度總覽'!$B$8&gt;'月度總覽'!$B$7,'月度總覽'!$B$8&lt;=A13),'月度總覽'!$B$9,0)+SUMIFS($E$5:E13,$A$5:A13,"&gt;"&amp;'月度總覽'!$B$7)-SUMIFS($G$5:G13,$A$5:A13,"&gt;"&amp;'月度總覽'!$B$7))</f>
        <v>1,818.18</v>
      </c>
    </row>
    <row r="14">
      <c r="A14" s="39" t="str">
        <f>IF(10&lt;='月度總覽'!$F$5,'月度總覽'!$B$5+10-1,"")</f>
        <v>2026-08-06</v>
      </c>
      <c r="B14" t="str">
        <f t="shared" si="1"/>
        <v>aaa</v>
      </c>
      <c r="C14" t="str">
        <f>IF(A14="","",IF(A14&lt;'月度總覽'!$F$6,"已過",IF(A14='月度總覽'!$F$6,"基準日","未來")))</f>
        <v>未來</v>
      </c>
      <c r="D14" s="40" t="str">
        <f>IF(A14="","",IF(A14='月度總覽'!$B$8,'月度總覽'!$B$9,0))</f>
        <v>0.00</v>
      </c>
      <c r="E14" s="40" t="str">
        <f>IF(A14="","",SUMIFS('收支明細'!$E:$E,'收支明細'!$B:$B,"收入",'收支明細'!$A:$A,A14))</f>
        <v>0.00</v>
      </c>
      <c r="F14" s="40" t="str">
        <f>IF(A14="","",SUMIFS('固定支出'!$C:$C,'固定支出'!$G:$G,"是",'固定支出'!$D:$D,A14))</f>
        <v>0.00</v>
      </c>
      <c r="G14" s="40" t="str">
        <f>IF(A14="","",SUMIFS('收支明細'!$E:$E,'收支明細'!$B:$B,"支出",'收支明細'!$A:$A,A14))</f>
        <v>0.00</v>
      </c>
      <c r="H14" s="40" t="str">
        <f>IF(OR(A14="",A14&lt;'月度總覽'!$F$6),0,'月度總覽'!$F$13)</f>
        <v>909.09</v>
      </c>
      <c r="I14" s="40" t="str">
        <f t="shared" si="2"/>
        <v>0.00</v>
      </c>
      <c r="J14" s="40" t="str">
        <f>IF(OR(A14="",A14&lt;'月度總覽'!$F$6),"",'月度總覽'!$F$12-SUM($H$5:H14)+IF(AND('月度總覽'!$B$10="到帳日自動計入",'月度總覽'!$B$8&gt;'月度總覽'!$B$7,'月度總覽'!$B$8&lt;=A14),'月度總覽'!$B$9,0)+SUMIFS($E$5:E14,$A$5:A14,"&gt;"&amp;'月度總覽'!$B$7)-SUMIFS($G$5:G14,$A$5:A14,"&gt;"&amp;'月度總覽'!$B$7))</f>
        <v>909.09</v>
      </c>
    </row>
    <row r="15">
      <c r="A15" s="39" t="str">
        <f>IF(11&lt;='月度總覽'!$F$5,'月度總覽'!$B$5+11-1,"")</f>
        <v>2026-08-07</v>
      </c>
      <c r="B15" t="str">
        <f t="shared" si="1"/>
        <v>aaa</v>
      </c>
      <c r="C15" t="str">
        <f>IF(A15="","",IF(A15&lt;'月度總覽'!$F$6,"已過",IF(A15='月度總覽'!$F$6,"基準日","未來")))</f>
        <v>未來</v>
      </c>
      <c r="D15" s="40" t="str">
        <f>IF(A15="","",IF(A15='月度總覽'!$B$8,'月度總覽'!$B$9,0))</f>
        <v>22,500.00</v>
      </c>
      <c r="E15" s="40" t="str">
        <f>IF(A15="","",SUMIFS('收支明細'!$E:$E,'收支明細'!$B:$B,"收入",'收支明細'!$A:$A,A15))</f>
        <v>0.00</v>
      </c>
      <c r="F15" s="40" t="str">
        <f>IF(A15="","",SUMIFS('固定支出'!$C:$C,'固定支出'!$G:$G,"是",'固定支出'!$D:$D,A15))</f>
        <v>0.00</v>
      </c>
      <c r="G15" s="40" t="str">
        <f>IF(A15="","",SUMIFS('收支明細'!$E:$E,'收支明細'!$B:$B,"支出",'收支明細'!$A:$A,A15))</f>
        <v>0.00</v>
      </c>
      <c r="H15" s="40" t="str">
        <f>IF(OR(A15="",A15&lt;'月度總覽'!$F$6),0,'月度總覽'!$F$13)</f>
        <v>909.09</v>
      </c>
      <c r="I15" s="40" t="str">
        <f t="shared" si="2"/>
        <v>22,500.00</v>
      </c>
      <c r="J15" s="40" t="str">
        <f>IF(OR(A15="",A15&lt;'月度總覽'!$F$6),"",'月度總覽'!$F$12-SUM($H$5:H15)+IF(AND('月度總覽'!$B$10="到帳日自動計入",'月度總覽'!$B$8&gt;'月度總覽'!$B$7,'月度總覽'!$B$8&lt;=A15),'月度總覽'!$B$9,0)+SUMIFS($E$5:E15,$A$5:A15,"&gt;"&amp;'月度總覽'!$B$7)-SUMIFS($G$5:G15,$A$5:A15,"&gt;"&amp;'月度總覽'!$B$7))</f>
        <v>22,500.00</v>
      </c>
    </row>
    <row r="16">
      <c r="A16" s="39" t="str">
        <f>IF(12&lt;='月度總覽'!$F$5,'月度總覽'!$B$5+12-1,"")</f>
        <v/>
      </c>
      <c r="B16" t="str">
        <f t="shared" si="1"/>
        <v/>
      </c>
      <c r="C16" t="str">
        <f>IF(A16="","",IF(A16&lt;'月度總覽'!$F$6,"已過",IF(A16='月度總覽'!$F$6,"基準日","未來")))</f>
        <v/>
      </c>
      <c r="D16" s="40" t="str">
        <f>IF(A16="","",IF(A16='月度總覽'!$B$8,'月度總覽'!$B$9,0))</f>
        <v/>
      </c>
      <c r="E16" s="40" t="str">
        <f>IF(A16="","",SUMIFS('收支明細'!$E:$E,'收支明細'!$B:$B,"收入",'收支明細'!$A:$A,A16))</f>
        <v/>
      </c>
      <c r="F16" s="40" t="str">
        <f>IF(A16="","",SUMIFS('固定支出'!$C:$C,'固定支出'!$G:$G,"是",'固定支出'!$D:$D,A16))</f>
        <v/>
      </c>
      <c r="G16" s="40" t="str">
        <f>IF(A16="","",SUMIFS('收支明細'!$E:$E,'收支明細'!$B:$B,"支出",'收支明細'!$A:$A,A16))</f>
        <v/>
      </c>
      <c r="H16" s="40" t="str">
        <f>IF(OR(A16="",A16&lt;'月度總覽'!$F$6),0,'月度總覽'!$F$13)</f>
        <v>0.00</v>
      </c>
      <c r="I16" s="40" t="str">
        <f t="shared" si="2"/>
        <v/>
      </c>
      <c r="J16" s="40" t="str">
        <f>IF(OR(A16="",A16&lt;'月度總覽'!$F$6),"",'月度總覽'!$F$12-SUM($H$5:H16)+IF(AND('月度總覽'!$B$10="到帳日自動計入",'月度總覽'!$B$8&gt;'月度總覽'!$B$7,'月度總覽'!$B$8&lt;=A16),'月度總覽'!$B$9,0)+SUMIFS($E$5:E16,$A$5:A16,"&gt;"&amp;'月度總覽'!$B$7)-SUMIFS($G$5:G16,$A$5:A16,"&gt;"&amp;'月度總覽'!$B$7))</f>
        <v/>
      </c>
    </row>
    <row r="17">
      <c r="A17" s="39" t="str">
        <f>IF(13&lt;='月度總覽'!$F$5,'月度總覽'!$B$5+13-1,"")</f>
        <v/>
      </c>
      <c r="B17" t="str">
        <f t="shared" si="1"/>
        <v/>
      </c>
      <c r="C17" t="str">
        <f>IF(A17="","",IF(A17&lt;'月度總覽'!$F$6,"已過",IF(A17='月度總覽'!$F$6,"基準日","未來")))</f>
        <v/>
      </c>
      <c r="D17" s="40" t="str">
        <f>IF(A17="","",IF(A17='月度總覽'!$B$8,'月度總覽'!$B$9,0))</f>
        <v/>
      </c>
      <c r="E17" s="40" t="str">
        <f>IF(A17="","",SUMIFS('收支明細'!$E:$E,'收支明細'!$B:$B,"收入",'收支明細'!$A:$A,A17))</f>
        <v/>
      </c>
      <c r="F17" s="40" t="str">
        <f>IF(A17="","",SUMIFS('固定支出'!$C:$C,'固定支出'!$G:$G,"是",'固定支出'!$D:$D,A17))</f>
        <v/>
      </c>
      <c r="G17" s="40" t="str">
        <f>IF(A17="","",SUMIFS('收支明細'!$E:$E,'收支明細'!$B:$B,"支出",'收支明細'!$A:$A,A17))</f>
        <v/>
      </c>
      <c r="H17" s="40" t="str">
        <f>IF(OR(A17="",A17&lt;'月度總覽'!$F$6),0,'月度總覽'!$F$13)</f>
        <v>0.00</v>
      </c>
      <c r="I17" s="40" t="str">
        <f t="shared" si="2"/>
        <v/>
      </c>
      <c r="J17" s="40" t="str">
        <f>IF(OR(A17="",A17&lt;'月度總覽'!$F$6),"",'月度總覽'!$F$12-SUM($H$5:H17)+IF(AND('月度總覽'!$B$10="到帳日自動計入",'月度總覽'!$B$8&gt;'月度總覽'!$B$7,'月度總覽'!$B$8&lt;=A17),'月度總覽'!$B$9,0)+SUMIFS($E$5:E17,$A$5:A17,"&gt;"&amp;'月度總覽'!$B$7)-SUMIFS($G$5:G17,$A$5:A17,"&gt;"&amp;'月度總覽'!$B$7))</f>
        <v/>
      </c>
    </row>
    <row r="18">
      <c r="A18" s="39" t="str">
        <f>IF(14&lt;='月度總覽'!$F$5,'月度總覽'!$B$5+14-1,"")</f>
        <v/>
      </c>
      <c r="B18" t="str">
        <f t="shared" si="1"/>
        <v/>
      </c>
      <c r="C18" t="str">
        <f>IF(A18="","",IF(A18&lt;'月度總覽'!$F$6,"已過",IF(A18='月度總覽'!$F$6,"基準日","未來")))</f>
        <v/>
      </c>
      <c r="D18" s="40" t="str">
        <f>IF(A18="","",IF(A18='月度總覽'!$B$8,'月度總覽'!$B$9,0))</f>
        <v/>
      </c>
      <c r="E18" s="40" t="str">
        <f>IF(A18="","",SUMIFS('收支明細'!$E:$E,'收支明細'!$B:$B,"收入",'收支明細'!$A:$A,A18))</f>
        <v/>
      </c>
      <c r="F18" s="40" t="str">
        <f>IF(A18="","",SUMIFS('固定支出'!$C:$C,'固定支出'!$G:$G,"是",'固定支出'!$D:$D,A18))</f>
        <v/>
      </c>
      <c r="G18" s="40" t="str">
        <f>IF(A18="","",SUMIFS('收支明細'!$E:$E,'收支明細'!$B:$B,"支出",'收支明細'!$A:$A,A18))</f>
        <v/>
      </c>
      <c r="H18" s="40" t="str">
        <f>IF(OR(A18="",A18&lt;'月度總覽'!$F$6),0,'月度總覽'!$F$13)</f>
        <v>0.00</v>
      </c>
      <c r="I18" s="40" t="str">
        <f t="shared" si="2"/>
        <v/>
      </c>
      <c r="J18" s="40" t="str">
        <f>IF(OR(A18="",A18&lt;'月度總覽'!$F$6),"",'月度總覽'!$F$12-SUM($H$5:H18)+IF(AND('月度總覽'!$B$10="到帳日自動計入",'月度總覽'!$B$8&gt;'月度總覽'!$B$7,'月度總覽'!$B$8&lt;=A18),'月度總覽'!$B$9,0)+SUMIFS($E$5:E18,$A$5:A18,"&gt;"&amp;'月度總覽'!$B$7)-SUMIFS($G$5:G18,$A$5:A18,"&gt;"&amp;'月度總覽'!$B$7))</f>
        <v/>
      </c>
    </row>
    <row r="19">
      <c r="A19" s="39" t="str">
        <f>IF(15&lt;='月度總覽'!$F$5,'月度總覽'!$B$5+15-1,"")</f>
        <v/>
      </c>
      <c r="B19" t="str">
        <f t="shared" si="1"/>
        <v/>
      </c>
      <c r="C19" t="str">
        <f>IF(A19="","",IF(A19&lt;'月度總覽'!$F$6,"已過",IF(A19='月度總覽'!$F$6,"基準日","未來")))</f>
        <v/>
      </c>
      <c r="D19" s="40" t="str">
        <f>IF(A19="","",IF(A19='月度總覽'!$B$8,'月度總覽'!$B$9,0))</f>
        <v/>
      </c>
      <c r="E19" s="40" t="str">
        <f>IF(A19="","",SUMIFS('收支明細'!$E:$E,'收支明細'!$B:$B,"收入",'收支明細'!$A:$A,A19))</f>
        <v/>
      </c>
      <c r="F19" s="40" t="str">
        <f>IF(A19="","",SUMIFS('固定支出'!$C:$C,'固定支出'!$G:$G,"是",'固定支出'!$D:$D,A19))</f>
        <v/>
      </c>
      <c r="G19" s="40" t="str">
        <f>IF(A19="","",SUMIFS('收支明細'!$E:$E,'收支明細'!$B:$B,"支出",'收支明細'!$A:$A,A19))</f>
        <v/>
      </c>
      <c r="H19" s="40" t="str">
        <f>IF(OR(A19="",A19&lt;'月度總覽'!$F$6),0,'月度總覽'!$F$13)</f>
        <v>0.00</v>
      </c>
      <c r="I19" s="40" t="str">
        <f t="shared" si="2"/>
        <v/>
      </c>
      <c r="J19" s="40" t="str">
        <f>IF(OR(A19="",A19&lt;'月度總覽'!$F$6),"",'月度總覽'!$F$12-SUM($H$5:H19)+IF(AND('月度總覽'!$B$10="到帳日自動計入",'月度總覽'!$B$8&gt;'月度總覽'!$B$7,'月度總覽'!$B$8&lt;=A19),'月度總覽'!$B$9,0)+SUMIFS($E$5:E19,$A$5:A19,"&gt;"&amp;'月度總覽'!$B$7)-SUMIFS($G$5:G19,$A$5:A19,"&gt;"&amp;'月度總覽'!$B$7))</f>
        <v/>
      </c>
    </row>
    <row r="20">
      <c r="A20" s="39" t="str">
        <f>IF(16&lt;='月度總覽'!$F$5,'月度總覽'!$B$5+16-1,"")</f>
        <v/>
      </c>
      <c r="B20" t="str">
        <f t="shared" si="1"/>
        <v/>
      </c>
      <c r="C20" t="str">
        <f>IF(A20="","",IF(A20&lt;'月度總覽'!$F$6,"已過",IF(A20='月度總覽'!$F$6,"基準日","未來")))</f>
        <v/>
      </c>
      <c r="D20" s="40" t="str">
        <f>IF(A20="","",IF(A20='月度總覽'!$B$8,'月度總覽'!$B$9,0))</f>
        <v/>
      </c>
      <c r="E20" s="40" t="str">
        <f>IF(A20="","",SUMIFS('收支明細'!$E:$E,'收支明細'!$B:$B,"收入",'收支明細'!$A:$A,A20))</f>
        <v/>
      </c>
      <c r="F20" s="40" t="str">
        <f>IF(A20="","",SUMIFS('固定支出'!$C:$C,'固定支出'!$G:$G,"是",'固定支出'!$D:$D,A20))</f>
        <v/>
      </c>
      <c r="G20" s="40" t="str">
        <f>IF(A20="","",SUMIFS('收支明細'!$E:$E,'收支明細'!$B:$B,"支出",'收支明細'!$A:$A,A20))</f>
        <v/>
      </c>
      <c r="H20" s="40" t="str">
        <f>IF(OR(A20="",A20&lt;'月度總覽'!$F$6),0,'月度總覽'!$F$13)</f>
        <v>0.00</v>
      </c>
      <c r="I20" s="40" t="str">
        <f t="shared" si="2"/>
        <v/>
      </c>
      <c r="J20" s="40" t="str">
        <f>IF(OR(A20="",A20&lt;'月度總覽'!$F$6),"",'月度總覽'!$F$12-SUM($H$5:H20)+IF(AND('月度總覽'!$B$10="到帳日自動計入",'月度總覽'!$B$8&gt;'月度總覽'!$B$7,'月度總覽'!$B$8&lt;=A20),'月度總覽'!$B$9,0)+SUMIFS($E$5:E20,$A$5:A20,"&gt;"&amp;'月度總覽'!$B$7)-SUMIFS($G$5:G20,$A$5:A20,"&gt;"&amp;'月度總覽'!$B$7))</f>
        <v/>
      </c>
    </row>
    <row r="21" ht="15.75" customHeight="1">
      <c r="A21" s="39" t="str">
        <f>IF(17&lt;='月度總覽'!$F$5,'月度總覽'!$B$5+17-1,"")</f>
        <v/>
      </c>
      <c r="B21" t="str">
        <f t="shared" si="1"/>
        <v/>
      </c>
      <c r="C21" t="str">
        <f>IF(A21="","",IF(A21&lt;'月度總覽'!$F$6,"已過",IF(A21='月度總覽'!$F$6,"基準日","未來")))</f>
        <v/>
      </c>
      <c r="D21" s="40" t="str">
        <f>IF(A21="","",IF(A21='月度總覽'!$B$8,'月度總覽'!$B$9,0))</f>
        <v/>
      </c>
      <c r="E21" s="40" t="str">
        <f>IF(A21="","",SUMIFS('收支明細'!$E:$E,'收支明細'!$B:$B,"收入",'收支明細'!$A:$A,A21))</f>
        <v/>
      </c>
      <c r="F21" s="40" t="str">
        <f>IF(A21="","",SUMIFS('固定支出'!$C:$C,'固定支出'!$G:$G,"是",'固定支出'!$D:$D,A21))</f>
        <v/>
      </c>
      <c r="G21" s="40" t="str">
        <f>IF(A21="","",SUMIFS('收支明細'!$E:$E,'收支明細'!$B:$B,"支出",'收支明細'!$A:$A,A21))</f>
        <v/>
      </c>
      <c r="H21" s="40" t="str">
        <f>IF(OR(A21="",A21&lt;'月度總覽'!$F$6),0,'月度總覽'!$F$13)</f>
        <v>0.00</v>
      </c>
      <c r="I21" s="40" t="str">
        <f t="shared" si="2"/>
        <v/>
      </c>
      <c r="J21" s="40" t="str">
        <f>IF(OR(A21="",A21&lt;'月度總覽'!$F$6),"",'月度總覽'!$F$12-SUM($H$5:H21)+IF(AND('月度總覽'!$B$10="到帳日自動計入",'月度總覽'!$B$8&gt;'月度總覽'!$B$7,'月度總覽'!$B$8&lt;=A21),'月度總覽'!$B$9,0)+SUMIFS($E$5:E21,$A$5:A21,"&gt;"&amp;'月度總覽'!$B$7)-SUMIFS($G$5:G21,$A$5:A21,"&gt;"&amp;'月度總覽'!$B$7))</f>
        <v/>
      </c>
    </row>
    <row r="22" ht="15.75" customHeight="1">
      <c r="A22" s="39" t="str">
        <f>IF(18&lt;='月度總覽'!$F$5,'月度總覽'!$B$5+18-1,"")</f>
        <v/>
      </c>
      <c r="B22" t="str">
        <f t="shared" si="1"/>
        <v/>
      </c>
      <c r="C22" t="str">
        <f>IF(A22="","",IF(A22&lt;'月度總覽'!$F$6,"已過",IF(A22='月度總覽'!$F$6,"基準日","未來")))</f>
        <v/>
      </c>
      <c r="D22" s="40" t="str">
        <f>IF(A22="","",IF(A22='月度總覽'!$B$8,'月度總覽'!$B$9,0))</f>
        <v/>
      </c>
      <c r="E22" s="40" t="str">
        <f>IF(A22="","",SUMIFS('收支明細'!$E:$E,'收支明細'!$B:$B,"收入",'收支明細'!$A:$A,A22))</f>
        <v/>
      </c>
      <c r="F22" s="40" t="str">
        <f>IF(A22="","",SUMIFS('固定支出'!$C:$C,'固定支出'!$G:$G,"是",'固定支出'!$D:$D,A22))</f>
        <v/>
      </c>
      <c r="G22" s="40" t="str">
        <f>IF(A22="","",SUMIFS('收支明細'!$E:$E,'收支明細'!$B:$B,"支出",'收支明細'!$A:$A,A22))</f>
        <v/>
      </c>
      <c r="H22" s="40" t="str">
        <f>IF(OR(A22="",A22&lt;'月度總覽'!$F$6),0,'月度總覽'!$F$13)</f>
        <v>0.00</v>
      </c>
      <c r="I22" s="40" t="str">
        <f t="shared" si="2"/>
        <v/>
      </c>
      <c r="J22" s="40" t="str">
        <f>IF(OR(A22="",A22&lt;'月度總覽'!$F$6),"",'月度總覽'!$F$12-SUM($H$5:H22)+IF(AND('月度總覽'!$B$10="到帳日自動計入",'月度總覽'!$B$8&gt;'月度總覽'!$B$7,'月度總覽'!$B$8&lt;=A22),'月度總覽'!$B$9,0)+SUMIFS($E$5:E22,$A$5:A22,"&gt;"&amp;'月度總覽'!$B$7)-SUMIFS($G$5:G22,$A$5:A22,"&gt;"&amp;'月度總覽'!$B$7))</f>
        <v/>
      </c>
    </row>
    <row r="23" ht="15.75" customHeight="1">
      <c r="A23" s="39" t="str">
        <f>IF(19&lt;='月度總覽'!$F$5,'月度總覽'!$B$5+19-1,"")</f>
        <v/>
      </c>
      <c r="B23" t="str">
        <f t="shared" si="1"/>
        <v/>
      </c>
      <c r="C23" t="str">
        <f>IF(A23="","",IF(A23&lt;'月度總覽'!$F$6,"已過",IF(A23='月度總覽'!$F$6,"基準日","未來")))</f>
        <v/>
      </c>
      <c r="D23" s="40" t="str">
        <f>IF(A23="","",IF(A23='月度總覽'!$B$8,'月度總覽'!$B$9,0))</f>
        <v/>
      </c>
      <c r="E23" s="40" t="str">
        <f>IF(A23="","",SUMIFS('收支明細'!$E:$E,'收支明細'!$B:$B,"收入",'收支明細'!$A:$A,A23))</f>
        <v/>
      </c>
      <c r="F23" s="40" t="str">
        <f>IF(A23="","",SUMIFS('固定支出'!$C:$C,'固定支出'!$G:$G,"是",'固定支出'!$D:$D,A23))</f>
        <v/>
      </c>
      <c r="G23" s="40" t="str">
        <f>IF(A23="","",SUMIFS('收支明細'!$E:$E,'收支明細'!$B:$B,"支出",'收支明細'!$A:$A,A23))</f>
        <v/>
      </c>
      <c r="H23" s="40" t="str">
        <f>IF(OR(A23="",A23&lt;'月度總覽'!$F$6),0,'月度總覽'!$F$13)</f>
        <v>0.00</v>
      </c>
      <c r="I23" s="40" t="str">
        <f t="shared" si="2"/>
        <v/>
      </c>
      <c r="J23" s="40" t="str">
        <f>IF(OR(A23="",A23&lt;'月度總覽'!$F$6),"",'月度總覽'!$F$12-SUM($H$5:H23)+IF(AND('月度總覽'!$B$10="到帳日自動計入",'月度總覽'!$B$8&gt;'月度總覽'!$B$7,'月度總覽'!$B$8&lt;=A23),'月度總覽'!$B$9,0)+SUMIFS($E$5:E23,$A$5:A23,"&gt;"&amp;'月度總覽'!$B$7)-SUMIFS($G$5:G23,$A$5:A23,"&gt;"&amp;'月度總覽'!$B$7))</f>
        <v/>
      </c>
    </row>
    <row r="24" ht="15.75" customHeight="1">
      <c r="A24" s="39" t="str">
        <f>IF(20&lt;='月度總覽'!$F$5,'月度總覽'!$B$5+20-1,"")</f>
        <v/>
      </c>
      <c r="B24" t="str">
        <f t="shared" si="1"/>
        <v/>
      </c>
      <c r="C24" t="str">
        <f>IF(A24="","",IF(A24&lt;'月度總覽'!$F$6,"已過",IF(A24='月度總覽'!$F$6,"基準日","未來")))</f>
        <v/>
      </c>
      <c r="D24" s="40" t="str">
        <f>IF(A24="","",IF(A24='月度總覽'!$B$8,'月度總覽'!$B$9,0))</f>
        <v/>
      </c>
      <c r="E24" s="40" t="str">
        <f>IF(A24="","",SUMIFS('收支明細'!$E:$E,'收支明細'!$B:$B,"收入",'收支明細'!$A:$A,A24))</f>
        <v/>
      </c>
      <c r="F24" s="40" t="str">
        <f>IF(A24="","",SUMIFS('固定支出'!$C:$C,'固定支出'!$G:$G,"是",'固定支出'!$D:$D,A24))</f>
        <v/>
      </c>
      <c r="G24" s="40" t="str">
        <f>IF(A24="","",SUMIFS('收支明細'!$E:$E,'收支明細'!$B:$B,"支出",'收支明細'!$A:$A,A24))</f>
        <v/>
      </c>
      <c r="H24" s="40" t="str">
        <f>IF(OR(A24="",A24&lt;'月度總覽'!$F$6),0,'月度總覽'!$F$13)</f>
        <v>0.00</v>
      </c>
      <c r="I24" s="40" t="str">
        <f t="shared" si="2"/>
        <v/>
      </c>
      <c r="J24" s="40" t="str">
        <f>IF(OR(A24="",A24&lt;'月度總覽'!$F$6),"",'月度總覽'!$F$12-SUM($H$5:H24)+IF(AND('月度總覽'!$B$10="到帳日自動計入",'月度總覽'!$B$8&gt;'月度總覽'!$B$7,'月度總覽'!$B$8&lt;=A24),'月度總覽'!$B$9,0)+SUMIFS($E$5:E24,$A$5:A24,"&gt;"&amp;'月度總覽'!$B$7)-SUMIFS($G$5:G24,$A$5:A24,"&gt;"&amp;'月度總覽'!$B$7))</f>
        <v/>
      </c>
    </row>
    <row r="25" ht="15.75" customHeight="1">
      <c r="A25" s="39" t="str">
        <f>IF(21&lt;='月度總覽'!$F$5,'月度總覽'!$B$5+21-1,"")</f>
        <v/>
      </c>
      <c r="B25" t="str">
        <f t="shared" si="1"/>
        <v/>
      </c>
      <c r="C25" t="str">
        <f>IF(A25="","",IF(A25&lt;'月度總覽'!$F$6,"已過",IF(A25='月度總覽'!$F$6,"基準日","未來")))</f>
        <v/>
      </c>
      <c r="D25" s="40" t="str">
        <f>IF(A25="","",IF(A25='月度總覽'!$B$8,'月度總覽'!$B$9,0))</f>
        <v/>
      </c>
      <c r="E25" s="40" t="str">
        <f>IF(A25="","",SUMIFS('收支明細'!$E:$E,'收支明細'!$B:$B,"收入",'收支明細'!$A:$A,A25))</f>
        <v/>
      </c>
      <c r="F25" s="40" t="str">
        <f>IF(A25="","",SUMIFS('固定支出'!$C:$C,'固定支出'!$G:$G,"是",'固定支出'!$D:$D,A25))</f>
        <v/>
      </c>
      <c r="G25" s="40" t="str">
        <f>IF(A25="","",SUMIFS('收支明細'!$E:$E,'收支明細'!$B:$B,"支出",'收支明細'!$A:$A,A25))</f>
        <v/>
      </c>
      <c r="H25" s="40" t="str">
        <f>IF(OR(A25="",A25&lt;'月度總覽'!$F$6),0,'月度總覽'!$F$13)</f>
        <v>0.00</v>
      </c>
      <c r="I25" s="40" t="str">
        <f t="shared" si="2"/>
        <v/>
      </c>
      <c r="J25" s="40" t="str">
        <f>IF(OR(A25="",A25&lt;'月度總覽'!$F$6),"",'月度總覽'!$F$12-SUM($H$5:H25)+IF(AND('月度總覽'!$B$10="到帳日自動計入",'月度總覽'!$B$8&gt;'月度總覽'!$B$7,'月度總覽'!$B$8&lt;=A25),'月度總覽'!$B$9,0)+SUMIFS($E$5:E25,$A$5:A25,"&gt;"&amp;'月度總覽'!$B$7)-SUMIFS($G$5:G25,$A$5:A25,"&gt;"&amp;'月度總覽'!$B$7))</f>
        <v/>
      </c>
    </row>
    <row r="26" ht="15.75" customHeight="1">
      <c r="A26" s="39" t="str">
        <f>IF(22&lt;='月度總覽'!$F$5,'月度總覽'!$B$5+22-1,"")</f>
        <v/>
      </c>
      <c r="B26" t="str">
        <f t="shared" si="1"/>
        <v/>
      </c>
      <c r="C26" t="str">
        <f>IF(A26="","",IF(A26&lt;'月度總覽'!$F$6,"已過",IF(A26='月度總覽'!$F$6,"基準日","未來")))</f>
        <v/>
      </c>
      <c r="D26" s="40" t="str">
        <f>IF(A26="","",IF(A26='月度總覽'!$B$8,'月度總覽'!$B$9,0))</f>
        <v/>
      </c>
      <c r="E26" s="40" t="str">
        <f>IF(A26="","",SUMIFS('收支明細'!$E:$E,'收支明細'!$B:$B,"收入",'收支明細'!$A:$A,A26))</f>
        <v/>
      </c>
      <c r="F26" s="40" t="str">
        <f>IF(A26="","",SUMIFS('固定支出'!$C:$C,'固定支出'!$G:$G,"是",'固定支出'!$D:$D,A26))</f>
        <v/>
      </c>
      <c r="G26" s="40" t="str">
        <f>IF(A26="","",SUMIFS('收支明細'!$E:$E,'收支明細'!$B:$B,"支出",'收支明細'!$A:$A,A26))</f>
        <v/>
      </c>
      <c r="H26" s="40" t="str">
        <f>IF(OR(A26="",A26&lt;'月度總覽'!$F$6),0,'月度總覽'!$F$13)</f>
        <v>0.00</v>
      </c>
      <c r="I26" s="40" t="str">
        <f t="shared" si="2"/>
        <v/>
      </c>
      <c r="J26" s="40" t="str">
        <f>IF(OR(A26="",A26&lt;'月度總覽'!$F$6),"",'月度總覽'!$F$12-SUM($H$5:H26)+IF(AND('月度總覽'!$B$10="到帳日自動計入",'月度總覽'!$B$8&gt;'月度總覽'!$B$7,'月度總覽'!$B$8&lt;=A26),'月度總覽'!$B$9,0)+SUMIFS($E$5:E26,$A$5:A26,"&gt;"&amp;'月度總覽'!$B$7)-SUMIFS($G$5:G26,$A$5:A26,"&gt;"&amp;'月度總覽'!$B$7))</f>
        <v/>
      </c>
    </row>
    <row r="27" ht="15.75" customHeight="1">
      <c r="A27" s="39" t="str">
        <f>IF(23&lt;='月度總覽'!$F$5,'月度總覽'!$B$5+23-1,"")</f>
        <v/>
      </c>
      <c r="B27" t="str">
        <f t="shared" si="1"/>
        <v/>
      </c>
      <c r="C27" t="str">
        <f>IF(A27="","",IF(A27&lt;'月度總覽'!$F$6,"已過",IF(A27='月度總覽'!$F$6,"基準日","未來")))</f>
        <v/>
      </c>
      <c r="D27" s="40" t="str">
        <f>IF(A27="","",IF(A27='月度總覽'!$B$8,'月度總覽'!$B$9,0))</f>
        <v/>
      </c>
      <c r="E27" s="40" t="str">
        <f>IF(A27="","",SUMIFS('收支明細'!$E:$E,'收支明細'!$B:$B,"收入",'收支明細'!$A:$A,A27))</f>
        <v/>
      </c>
      <c r="F27" s="40" t="str">
        <f>IF(A27="","",SUMIFS('固定支出'!$C:$C,'固定支出'!$G:$G,"是",'固定支出'!$D:$D,A27))</f>
        <v/>
      </c>
      <c r="G27" s="40" t="str">
        <f>IF(A27="","",SUMIFS('收支明細'!$E:$E,'收支明細'!$B:$B,"支出",'收支明細'!$A:$A,A27))</f>
        <v/>
      </c>
      <c r="H27" s="40" t="str">
        <f>IF(OR(A27="",A27&lt;'月度總覽'!$F$6),0,'月度總覽'!$F$13)</f>
        <v>0.00</v>
      </c>
      <c r="I27" s="40" t="str">
        <f t="shared" si="2"/>
        <v/>
      </c>
      <c r="J27" s="40" t="str">
        <f>IF(OR(A27="",A27&lt;'月度總覽'!$F$6),"",'月度總覽'!$F$12-SUM($H$5:H27)+IF(AND('月度總覽'!$B$10="到帳日自動計入",'月度總覽'!$B$8&gt;'月度總覽'!$B$7,'月度總覽'!$B$8&lt;=A27),'月度總覽'!$B$9,0)+SUMIFS($E$5:E27,$A$5:A27,"&gt;"&amp;'月度總覽'!$B$7)-SUMIFS($G$5:G27,$A$5:A27,"&gt;"&amp;'月度總覽'!$B$7))</f>
        <v/>
      </c>
    </row>
    <row r="28" ht="15.75" customHeight="1">
      <c r="A28" s="39" t="str">
        <f>IF(24&lt;='月度總覽'!$F$5,'月度總覽'!$B$5+24-1,"")</f>
        <v/>
      </c>
      <c r="B28" t="str">
        <f t="shared" si="1"/>
        <v/>
      </c>
      <c r="C28" t="str">
        <f>IF(A28="","",IF(A28&lt;'月度總覽'!$F$6,"已過",IF(A28='月度總覽'!$F$6,"基準日","未來")))</f>
        <v/>
      </c>
      <c r="D28" s="40" t="str">
        <f>IF(A28="","",IF(A28='月度總覽'!$B$8,'月度總覽'!$B$9,0))</f>
        <v/>
      </c>
      <c r="E28" s="40" t="str">
        <f>IF(A28="","",SUMIFS('收支明細'!$E:$E,'收支明細'!$B:$B,"收入",'收支明細'!$A:$A,A28))</f>
        <v/>
      </c>
      <c r="F28" s="40" t="str">
        <f>IF(A28="","",SUMIFS('固定支出'!$C:$C,'固定支出'!$G:$G,"是",'固定支出'!$D:$D,A28))</f>
        <v/>
      </c>
      <c r="G28" s="40" t="str">
        <f>IF(A28="","",SUMIFS('收支明細'!$E:$E,'收支明細'!$B:$B,"支出",'收支明細'!$A:$A,A28))</f>
        <v/>
      </c>
      <c r="H28" s="40" t="str">
        <f>IF(OR(A28="",A28&lt;'月度總覽'!$F$6),0,'月度總覽'!$F$13)</f>
        <v>0.00</v>
      </c>
      <c r="I28" s="40" t="str">
        <f t="shared" si="2"/>
        <v/>
      </c>
      <c r="J28" s="40" t="str">
        <f>IF(OR(A28="",A28&lt;'月度總覽'!$F$6),"",'月度總覽'!$F$12-SUM($H$5:H28)+IF(AND('月度總覽'!$B$10="到帳日自動計入",'月度總覽'!$B$8&gt;'月度總覽'!$B$7,'月度總覽'!$B$8&lt;=A28),'月度總覽'!$B$9,0)+SUMIFS($E$5:E28,$A$5:A28,"&gt;"&amp;'月度總覽'!$B$7)-SUMIFS($G$5:G28,$A$5:A28,"&gt;"&amp;'月度總覽'!$B$7))</f>
        <v/>
      </c>
    </row>
    <row r="29" ht="15.75" customHeight="1">
      <c r="A29" s="39" t="str">
        <f>IF(25&lt;='月度總覽'!$F$5,'月度總覽'!$B$5+25-1,"")</f>
        <v/>
      </c>
      <c r="B29" t="str">
        <f t="shared" si="1"/>
        <v/>
      </c>
      <c r="C29" t="str">
        <f>IF(A29="","",IF(A29&lt;'月度總覽'!$F$6,"已過",IF(A29='月度總覽'!$F$6,"基準日","未來")))</f>
        <v/>
      </c>
      <c r="D29" s="40" t="str">
        <f>IF(A29="","",IF(A29='月度總覽'!$B$8,'月度總覽'!$B$9,0))</f>
        <v/>
      </c>
      <c r="E29" s="40" t="str">
        <f>IF(A29="","",SUMIFS('收支明細'!$E:$E,'收支明細'!$B:$B,"收入",'收支明細'!$A:$A,A29))</f>
        <v/>
      </c>
      <c r="F29" s="40" t="str">
        <f>IF(A29="","",SUMIFS('固定支出'!$C:$C,'固定支出'!$G:$G,"是",'固定支出'!$D:$D,A29))</f>
        <v/>
      </c>
      <c r="G29" s="40" t="str">
        <f>IF(A29="","",SUMIFS('收支明細'!$E:$E,'收支明細'!$B:$B,"支出",'收支明細'!$A:$A,A29))</f>
        <v/>
      </c>
      <c r="H29" s="40" t="str">
        <f>IF(OR(A29="",A29&lt;'月度總覽'!$F$6),0,'月度總覽'!$F$13)</f>
        <v>0.00</v>
      </c>
      <c r="I29" s="40" t="str">
        <f t="shared" si="2"/>
        <v/>
      </c>
      <c r="J29" s="40" t="str">
        <f>IF(OR(A29="",A29&lt;'月度總覽'!$F$6),"",'月度總覽'!$F$12-SUM($H$5:H29)+IF(AND('月度總覽'!$B$10="到帳日自動計入",'月度總覽'!$B$8&gt;'月度總覽'!$B$7,'月度總覽'!$B$8&lt;=A29),'月度總覽'!$B$9,0)+SUMIFS($E$5:E29,$A$5:A29,"&gt;"&amp;'月度總覽'!$B$7)-SUMIFS($G$5:G29,$A$5:A29,"&gt;"&amp;'月度總覽'!$B$7))</f>
        <v/>
      </c>
    </row>
    <row r="30" ht="15.75" customHeight="1">
      <c r="A30" s="39" t="str">
        <f>IF(26&lt;='月度總覽'!$F$5,'月度總覽'!$B$5+26-1,"")</f>
        <v/>
      </c>
      <c r="B30" t="str">
        <f t="shared" si="1"/>
        <v/>
      </c>
      <c r="C30" t="str">
        <f>IF(A30="","",IF(A30&lt;'月度總覽'!$F$6,"已過",IF(A30='月度總覽'!$F$6,"基準日","未來")))</f>
        <v/>
      </c>
      <c r="D30" s="40" t="str">
        <f>IF(A30="","",IF(A30='月度總覽'!$B$8,'月度總覽'!$B$9,0))</f>
        <v/>
      </c>
      <c r="E30" s="40" t="str">
        <f>IF(A30="","",SUMIFS('收支明細'!$E:$E,'收支明細'!$B:$B,"收入",'收支明細'!$A:$A,A30))</f>
        <v/>
      </c>
      <c r="F30" s="40" t="str">
        <f>IF(A30="","",SUMIFS('固定支出'!$C:$C,'固定支出'!$G:$G,"是",'固定支出'!$D:$D,A30))</f>
        <v/>
      </c>
      <c r="G30" s="40" t="str">
        <f>IF(A30="","",SUMIFS('收支明細'!$E:$E,'收支明細'!$B:$B,"支出",'收支明細'!$A:$A,A30))</f>
        <v/>
      </c>
      <c r="H30" s="40" t="str">
        <f>IF(OR(A30="",A30&lt;'月度總覽'!$F$6),0,'月度總覽'!$F$13)</f>
        <v>0.00</v>
      </c>
      <c r="I30" s="40" t="str">
        <f t="shared" si="2"/>
        <v/>
      </c>
      <c r="J30" s="40" t="str">
        <f>IF(OR(A30="",A30&lt;'月度總覽'!$F$6),"",'月度總覽'!$F$12-SUM($H$5:H30)+IF(AND('月度總覽'!$B$10="到帳日自動計入",'月度總覽'!$B$8&gt;'月度總覽'!$B$7,'月度總覽'!$B$8&lt;=A30),'月度總覽'!$B$9,0)+SUMIFS($E$5:E30,$A$5:A30,"&gt;"&amp;'月度總覽'!$B$7)-SUMIFS($G$5:G30,$A$5:A30,"&gt;"&amp;'月度總覽'!$B$7))</f>
        <v/>
      </c>
    </row>
    <row r="31" ht="15.75" customHeight="1">
      <c r="A31" s="39" t="str">
        <f>IF(27&lt;='月度總覽'!$F$5,'月度總覽'!$B$5+27-1,"")</f>
        <v/>
      </c>
      <c r="B31" t="str">
        <f t="shared" si="1"/>
        <v/>
      </c>
      <c r="C31" t="str">
        <f>IF(A31="","",IF(A31&lt;'月度總覽'!$F$6,"已過",IF(A31='月度總覽'!$F$6,"基準日","未來")))</f>
        <v/>
      </c>
      <c r="D31" s="40" t="str">
        <f>IF(A31="","",IF(A31='月度總覽'!$B$8,'月度總覽'!$B$9,0))</f>
        <v/>
      </c>
      <c r="E31" s="40" t="str">
        <f>IF(A31="","",SUMIFS('收支明細'!$E:$E,'收支明細'!$B:$B,"收入",'收支明細'!$A:$A,A31))</f>
        <v/>
      </c>
      <c r="F31" s="40" t="str">
        <f>IF(A31="","",SUMIFS('固定支出'!$C:$C,'固定支出'!$G:$G,"是",'固定支出'!$D:$D,A31))</f>
        <v/>
      </c>
      <c r="G31" s="40" t="str">
        <f>IF(A31="","",SUMIFS('收支明細'!$E:$E,'收支明細'!$B:$B,"支出",'收支明細'!$A:$A,A31))</f>
        <v/>
      </c>
      <c r="H31" s="40" t="str">
        <f>IF(OR(A31="",A31&lt;'月度總覽'!$F$6),0,'月度總覽'!$F$13)</f>
        <v>0.00</v>
      </c>
      <c r="I31" s="40" t="str">
        <f t="shared" si="2"/>
        <v/>
      </c>
      <c r="J31" s="40" t="str">
        <f>IF(OR(A31="",A31&lt;'月度總覽'!$F$6),"",'月度總覽'!$F$12-SUM($H$5:H31)+IF(AND('月度總覽'!$B$10="到帳日自動計入",'月度總覽'!$B$8&gt;'月度總覽'!$B$7,'月度總覽'!$B$8&lt;=A31),'月度總覽'!$B$9,0)+SUMIFS($E$5:E31,$A$5:A31,"&gt;"&amp;'月度總覽'!$B$7)-SUMIFS($G$5:G31,$A$5:A31,"&gt;"&amp;'月度總覽'!$B$7))</f>
        <v/>
      </c>
    </row>
    <row r="32" ht="15.75" customHeight="1">
      <c r="A32" s="39" t="str">
        <f>IF(28&lt;='月度總覽'!$F$5,'月度總覽'!$B$5+28-1,"")</f>
        <v/>
      </c>
      <c r="B32" t="str">
        <f t="shared" si="1"/>
        <v/>
      </c>
      <c r="C32" t="str">
        <f>IF(A32="","",IF(A32&lt;'月度總覽'!$F$6,"已過",IF(A32='月度總覽'!$F$6,"基準日","未來")))</f>
        <v/>
      </c>
      <c r="D32" s="40" t="str">
        <f>IF(A32="","",IF(A32='月度總覽'!$B$8,'月度總覽'!$B$9,0))</f>
        <v/>
      </c>
      <c r="E32" s="40" t="str">
        <f>IF(A32="","",SUMIFS('收支明細'!$E:$E,'收支明細'!$B:$B,"收入",'收支明細'!$A:$A,A32))</f>
        <v/>
      </c>
      <c r="F32" s="40" t="str">
        <f>IF(A32="","",SUMIFS('固定支出'!$C:$C,'固定支出'!$G:$G,"是",'固定支出'!$D:$D,A32))</f>
        <v/>
      </c>
      <c r="G32" s="40" t="str">
        <f>IF(A32="","",SUMIFS('收支明細'!$E:$E,'收支明細'!$B:$B,"支出",'收支明細'!$A:$A,A32))</f>
        <v/>
      </c>
      <c r="H32" s="40" t="str">
        <f>IF(OR(A32="",A32&lt;'月度總覽'!$F$6),0,'月度總覽'!$F$13)</f>
        <v>0.00</v>
      </c>
      <c r="I32" s="40" t="str">
        <f t="shared" si="2"/>
        <v/>
      </c>
      <c r="J32" s="40" t="str">
        <f>IF(OR(A32="",A32&lt;'月度總覽'!$F$6),"",'月度總覽'!$F$12-SUM($H$5:H32)+IF(AND('月度總覽'!$B$10="到帳日自動計入",'月度總覽'!$B$8&gt;'月度總覽'!$B$7,'月度總覽'!$B$8&lt;=A32),'月度總覽'!$B$9,0)+SUMIFS($E$5:E32,$A$5:A32,"&gt;"&amp;'月度總覽'!$B$7)-SUMIFS($G$5:G32,$A$5:A32,"&gt;"&amp;'月度總覽'!$B$7))</f>
        <v/>
      </c>
    </row>
    <row r="33" ht="15.75" customHeight="1">
      <c r="A33" s="39" t="str">
        <f>IF(29&lt;='月度總覽'!$F$5,'月度總覽'!$B$5+29-1,"")</f>
        <v/>
      </c>
      <c r="B33" t="str">
        <f t="shared" si="1"/>
        <v/>
      </c>
      <c r="C33" t="str">
        <f>IF(A33="","",IF(A33&lt;'月度總覽'!$F$6,"已過",IF(A33='月度總覽'!$F$6,"基準日","未來")))</f>
        <v/>
      </c>
      <c r="D33" s="40" t="str">
        <f>IF(A33="","",IF(A33='月度總覽'!$B$8,'月度總覽'!$B$9,0))</f>
        <v/>
      </c>
      <c r="E33" s="40" t="str">
        <f>IF(A33="","",SUMIFS('收支明細'!$E:$E,'收支明細'!$B:$B,"收入",'收支明細'!$A:$A,A33))</f>
        <v/>
      </c>
      <c r="F33" s="40" t="str">
        <f>IF(A33="","",SUMIFS('固定支出'!$C:$C,'固定支出'!$G:$G,"是",'固定支出'!$D:$D,A33))</f>
        <v/>
      </c>
      <c r="G33" s="40" t="str">
        <f>IF(A33="","",SUMIFS('收支明細'!$E:$E,'收支明細'!$B:$B,"支出",'收支明細'!$A:$A,A33))</f>
        <v/>
      </c>
      <c r="H33" s="40" t="str">
        <f>IF(OR(A33="",A33&lt;'月度總覽'!$F$6),0,'月度總覽'!$F$13)</f>
        <v>0.00</v>
      </c>
      <c r="I33" s="40" t="str">
        <f t="shared" si="2"/>
        <v/>
      </c>
      <c r="J33" s="40" t="str">
        <f>IF(OR(A33="",A33&lt;'月度總覽'!$F$6),"",'月度總覽'!$F$12-SUM($H$5:H33)+IF(AND('月度總覽'!$B$10="到帳日自動計入",'月度總覽'!$B$8&gt;'月度總覽'!$B$7,'月度總覽'!$B$8&lt;=A33),'月度總覽'!$B$9,0)+SUMIFS($E$5:E33,$A$5:A33,"&gt;"&amp;'月度總覽'!$B$7)-SUMIFS($G$5:G33,$A$5:A33,"&gt;"&amp;'月度總覽'!$B$7))</f>
        <v/>
      </c>
    </row>
    <row r="34" ht="15.75" customHeight="1">
      <c r="A34" s="39" t="str">
        <f>IF(30&lt;='月度總覽'!$F$5,'月度總覽'!$B$5+30-1,"")</f>
        <v/>
      </c>
      <c r="B34" t="str">
        <f t="shared" si="1"/>
        <v/>
      </c>
      <c r="C34" t="str">
        <f>IF(A34="","",IF(A34&lt;'月度總覽'!$F$6,"已過",IF(A34='月度總覽'!$F$6,"基準日","未來")))</f>
        <v/>
      </c>
      <c r="D34" s="40" t="str">
        <f>IF(A34="","",IF(A34='月度總覽'!$B$8,'月度總覽'!$B$9,0))</f>
        <v/>
      </c>
      <c r="E34" s="40" t="str">
        <f>IF(A34="","",SUMIFS('收支明細'!$E:$E,'收支明細'!$B:$B,"收入",'收支明細'!$A:$A,A34))</f>
        <v/>
      </c>
      <c r="F34" s="40" t="str">
        <f>IF(A34="","",SUMIFS('固定支出'!$C:$C,'固定支出'!$G:$G,"是",'固定支出'!$D:$D,A34))</f>
        <v/>
      </c>
      <c r="G34" s="40" t="str">
        <f>IF(A34="","",SUMIFS('收支明細'!$E:$E,'收支明細'!$B:$B,"支出",'收支明細'!$A:$A,A34))</f>
        <v/>
      </c>
      <c r="H34" s="40" t="str">
        <f>IF(OR(A34="",A34&lt;'月度總覽'!$F$6),0,'月度總覽'!$F$13)</f>
        <v>0.00</v>
      </c>
      <c r="I34" s="40" t="str">
        <f t="shared" si="2"/>
        <v/>
      </c>
      <c r="J34" s="40" t="str">
        <f>IF(OR(A34="",A34&lt;'月度總覽'!$F$6),"",'月度總覽'!$F$12-SUM($H$5:H34)+IF(AND('月度總覽'!$B$10="到帳日自動計入",'月度總覽'!$B$8&gt;'月度總覽'!$B$7,'月度總覽'!$B$8&lt;=A34),'月度總覽'!$B$9,0)+SUMIFS($E$5:E34,$A$5:A34,"&gt;"&amp;'月度總覽'!$B$7)-SUMIFS($G$5:G34,$A$5:A34,"&gt;"&amp;'月度總覽'!$B$7))</f>
        <v/>
      </c>
    </row>
    <row r="35" ht="15.75" customHeight="1">
      <c r="A35" s="39" t="str">
        <f>IF(31&lt;='月度總覽'!$F$5,'月度總覽'!$B$5+31-1,"")</f>
        <v/>
      </c>
      <c r="B35" t="str">
        <f t="shared" si="1"/>
        <v/>
      </c>
      <c r="C35" t="str">
        <f>IF(A35="","",IF(A35&lt;'月度總覽'!$F$6,"已過",IF(A35='月度總覽'!$F$6,"基準日","未來")))</f>
        <v/>
      </c>
      <c r="D35" s="40" t="str">
        <f>IF(A35="","",IF(A35='月度總覽'!$B$8,'月度總覽'!$B$9,0))</f>
        <v/>
      </c>
      <c r="E35" s="40" t="str">
        <f>IF(A35="","",SUMIFS('收支明細'!$E:$E,'收支明細'!$B:$B,"收入",'收支明細'!$A:$A,A35))</f>
        <v/>
      </c>
      <c r="F35" s="40" t="str">
        <f>IF(A35="","",SUMIFS('固定支出'!$C:$C,'固定支出'!$G:$G,"是",'固定支出'!$D:$D,A35))</f>
        <v/>
      </c>
      <c r="G35" s="40" t="str">
        <f>IF(A35="","",SUMIFS('收支明細'!$E:$E,'收支明細'!$B:$B,"支出",'收支明細'!$A:$A,A35))</f>
        <v/>
      </c>
      <c r="H35" s="40" t="str">
        <f>IF(OR(A35="",A35&lt;'月度總覽'!$F$6),0,'月度總覽'!$F$13)</f>
        <v>0.00</v>
      </c>
      <c r="I35" s="40" t="str">
        <f t="shared" si="2"/>
        <v/>
      </c>
      <c r="J35" s="40" t="str">
        <f>IF(OR(A35="",A35&lt;'月度總覽'!$F$6),"",'月度總覽'!$F$12-SUM($H$5:H35)+IF(AND('月度總覽'!$B$10="到帳日自動計入",'月度總覽'!$B$8&gt;'月度總覽'!$B$7,'月度總覽'!$B$8&lt;=A35),'月度總覽'!$B$9,0)+SUMIFS($E$5:E35,$A$5:A35,"&gt;"&amp;'月度總覽'!$B$7)-SUMIFS($G$5:G35,$A$5:A35,"&gt;"&amp;'月度總覽'!$B$7))</f>
        <v/>
      </c>
    </row>
    <row r="36" ht="15.75" customHeight="1">
      <c r="A36" s="39" t="str">
        <f>IF(32&lt;='月度總覽'!$F$5,'月度總覽'!$B$5+32-1,"")</f>
        <v/>
      </c>
      <c r="B36" t="str">
        <f t="shared" si="1"/>
        <v/>
      </c>
      <c r="C36" t="str">
        <f>IF(A36="","",IF(A36&lt;'月度總覽'!$F$6,"已過",IF(A36='月度總覽'!$F$6,"基準日","未來")))</f>
        <v/>
      </c>
      <c r="D36" s="40" t="str">
        <f>IF(A36="","",IF(A36='月度總覽'!$B$8,'月度總覽'!$B$9,0))</f>
        <v/>
      </c>
      <c r="E36" s="40" t="str">
        <f>IF(A36="","",SUMIFS('收支明細'!$E:$E,'收支明細'!$B:$B,"收入",'收支明細'!$A:$A,A36))</f>
        <v/>
      </c>
      <c r="F36" s="40" t="str">
        <f>IF(A36="","",SUMIFS('固定支出'!$C:$C,'固定支出'!$G:$G,"是",'固定支出'!$D:$D,A36))</f>
        <v/>
      </c>
      <c r="G36" s="40" t="str">
        <f>IF(A36="","",SUMIFS('收支明細'!$E:$E,'收支明細'!$B:$B,"支出",'收支明細'!$A:$A,A36))</f>
        <v/>
      </c>
      <c r="H36" s="40" t="str">
        <f>IF(OR(A36="",A36&lt;'月度總覽'!$F$6),0,'月度總覽'!$F$13)</f>
        <v>0.00</v>
      </c>
      <c r="I36" s="40" t="str">
        <f t="shared" si="2"/>
        <v/>
      </c>
      <c r="J36" s="40" t="str">
        <f>IF(OR(A36="",A36&lt;'月度總覽'!$F$6),"",'月度總覽'!$F$12-SUM($H$5:H36)+IF(AND('月度總覽'!$B$10="到帳日自動計入",'月度總覽'!$B$8&gt;'月度總覽'!$B$7,'月度總覽'!$B$8&lt;=A36),'月度總覽'!$B$9,0)+SUMIFS($E$5:E36,$A$5:A36,"&gt;"&amp;'月度總覽'!$B$7)-SUMIFS($G$5:G36,$A$5:A36,"&gt;"&amp;'月度總覽'!$B$7))</f>
        <v/>
      </c>
    </row>
    <row r="37" ht="15.75" customHeight="1">
      <c r="A37" s="39" t="str">
        <f>IF(33&lt;='月度總覽'!$F$5,'月度總覽'!$B$5+33-1,"")</f>
        <v/>
      </c>
      <c r="B37" t="str">
        <f t="shared" si="1"/>
        <v/>
      </c>
      <c r="C37" t="str">
        <f>IF(A37="","",IF(A37&lt;'月度總覽'!$F$6,"已過",IF(A37='月度總覽'!$F$6,"基準日","未來")))</f>
        <v/>
      </c>
      <c r="D37" s="40" t="str">
        <f>IF(A37="","",IF(A37='月度總覽'!$B$8,'月度總覽'!$B$9,0))</f>
        <v/>
      </c>
      <c r="E37" s="40" t="str">
        <f>IF(A37="","",SUMIFS('收支明細'!$E:$E,'收支明細'!$B:$B,"收入",'收支明細'!$A:$A,A37))</f>
        <v/>
      </c>
      <c r="F37" s="40" t="str">
        <f>IF(A37="","",SUMIFS('固定支出'!$C:$C,'固定支出'!$G:$G,"是",'固定支出'!$D:$D,A37))</f>
        <v/>
      </c>
      <c r="G37" s="40" t="str">
        <f>IF(A37="","",SUMIFS('收支明細'!$E:$E,'收支明細'!$B:$B,"支出",'收支明細'!$A:$A,A37))</f>
        <v/>
      </c>
      <c r="H37" s="40" t="str">
        <f>IF(OR(A37="",A37&lt;'月度總覽'!$F$6),0,'月度總覽'!$F$13)</f>
        <v>0.00</v>
      </c>
      <c r="I37" s="40" t="str">
        <f t="shared" si="2"/>
        <v/>
      </c>
      <c r="J37" s="40" t="str">
        <f>IF(OR(A37="",A37&lt;'月度總覽'!$F$6),"",'月度總覽'!$F$12-SUM($H$5:H37)+IF(AND('月度總覽'!$B$10="到帳日自動計入",'月度總覽'!$B$8&gt;'月度總覽'!$B$7,'月度總覽'!$B$8&lt;=A37),'月度總覽'!$B$9,0)+SUMIFS($E$5:E37,$A$5:A37,"&gt;"&amp;'月度總覽'!$B$7)-SUMIFS($G$5:G37,$A$5:A37,"&gt;"&amp;'月度總覽'!$B$7))</f>
        <v/>
      </c>
    </row>
    <row r="38" ht="15.75" customHeight="1">
      <c r="A38" s="39" t="str">
        <f>IF(34&lt;='月度總覽'!$F$5,'月度總覽'!$B$5+34-1,"")</f>
        <v/>
      </c>
      <c r="B38" t="str">
        <f t="shared" si="1"/>
        <v/>
      </c>
      <c r="C38" t="str">
        <f>IF(A38="","",IF(A38&lt;'月度總覽'!$F$6,"已過",IF(A38='月度總覽'!$F$6,"基準日","未來")))</f>
        <v/>
      </c>
      <c r="D38" s="40" t="str">
        <f>IF(A38="","",IF(A38='月度總覽'!$B$8,'月度總覽'!$B$9,0))</f>
        <v/>
      </c>
      <c r="E38" s="40" t="str">
        <f>IF(A38="","",SUMIFS('收支明細'!$E:$E,'收支明細'!$B:$B,"收入",'收支明細'!$A:$A,A38))</f>
        <v/>
      </c>
      <c r="F38" s="40" t="str">
        <f>IF(A38="","",SUMIFS('固定支出'!$C:$C,'固定支出'!$G:$G,"是",'固定支出'!$D:$D,A38))</f>
        <v/>
      </c>
      <c r="G38" s="40" t="str">
        <f>IF(A38="","",SUMIFS('收支明細'!$E:$E,'收支明細'!$B:$B,"支出",'收支明細'!$A:$A,A38))</f>
        <v/>
      </c>
      <c r="H38" s="40" t="str">
        <f>IF(OR(A38="",A38&lt;'月度總覽'!$F$6),0,'月度總覽'!$F$13)</f>
        <v>0.00</v>
      </c>
      <c r="I38" s="40" t="str">
        <f t="shared" si="2"/>
        <v/>
      </c>
      <c r="J38" s="40" t="str">
        <f>IF(OR(A38="",A38&lt;'月度總覽'!$F$6),"",'月度總覽'!$F$12-SUM($H$5:H38)+IF(AND('月度總覽'!$B$10="到帳日自動計入",'月度總覽'!$B$8&gt;'月度總覽'!$B$7,'月度總覽'!$B$8&lt;=A38),'月度總覽'!$B$9,0)+SUMIFS($E$5:E38,$A$5:A38,"&gt;"&amp;'月度總覽'!$B$7)-SUMIFS($G$5:G38,$A$5:A38,"&gt;"&amp;'月度總覽'!$B$7))</f>
        <v/>
      </c>
    </row>
    <row r="39" ht="15.75" customHeight="1">
      <c r="A39" s="39" t="str">
        <f>IF(35&lt;='月度總覽'!$F$5,'月度總覽'!$B$5+35-1,"")</f>
        <v/>
      </c>
      <c r="B39" t="str">
        <f t="shared" si="1"/>
        <v/>
      </c>
      <c r="C39" t="str">
        <f>IF(A39="","",IF(A39&lt;'月度總覽'!$F$6,"已過",IF(A39='月度總覽'!$F$6,"基準日","未來")))</f>
        <v/>
      </c>
      <c r="D39" s="40" t="str">
        <f>IF(A39="","",IF(A39='月度總覽'!$B$8,'月度總覽'!$B$9,0))</f>
        <v/>
      </c>
      <c r="E39" s="40" t="str">
        <f>IF(A39="","",SUMIFS('收支明細'!$E:$E,'收支明細'!$B:$B,"收入",'收支明細'!$A:$A,A39))</f>
        <v/>
      </c>
      <c r="F39" s="40" t="str">
        <f>IF(A39="","",SUMIFS('固定支出'!$C:$C,'固定支出'!$G:$G,"是",'固定支出'!$D:$D,A39))</f>
        <v/>
      </c>
      <c r="G39" s="40" t="str">
        <f>IF(A39="","",SUMIFS('收支明細'!$E:$E,'收支明細'!$B:$B,"支出",'收支明細'!$A:$A,A39))</f>
        <v/>
      </c>
      <c r="H39" s="40" t="str">
        <f>IF(OR(A39="",A39&lt;'月度總覽'!$F$6),0,'月度總覽'!$F$13)</f>
        <v>0.00</v>
      </c>
      <c r="I39" s="40" t="str">
        <f t="shared" si="2"/>
        <v/>
      </c>
      <c r="J39" s="40" t="str">
        <f>IF(OR(A39="",A39&lt;'月度總覽'!$F$6),"",'月度總覽'!$F$12-SUM($H$5:H39)+IF(AND('月度總覽'!$B$10="到帳日自動計入",'月度總覽'!$B$8&gt;'月度總覽'!$B$7,'月度總覽'!$B$8&lt;=A39),'月度總覽'!$B$9,0)+SUMIFS($E$5:E39,$A$5:A39,"&gt;"&amp;'月度總覽'!$B$7)-SUMIFS($G$5:G39,$A$5:A39,"&gt;"&amp;'月度總覽'!$B$7))</f>
        <v/>
      </c>
    </row>
    <row r="40" ht="15.75" customHeight="1">
      <c r="A40" s="39" t="str">
        <f>IF(36&lt;='月度總覽'!$F$5,'月度總覽'!$B$5+36-1,"")</f>
        <v/>
      </c>
      <c r="B40" t="str">
        <f t="shared" si="1"/>
        <v/>
      </c>
      <c r="C40" t="str">
        <f>IF(A40="","",IF(A40&lt;'月度總覽'!$F$6,"已過",IF(A40='月度總覽'!$F$6,"基準日","未來")))</f>
        <v/>
      </c>
      <c r="D40" s="40" t="str">
        <f>IF(A40="","",IF(A40='月度總覽'!$B$8,'月度總覽'!$B$9,0))</f>
        <v/>
      </c>
      <c r="E40" s="40" t="str">
        <f>IF(A40="","",SUMIFS('收支明細'!$E:$E,'收支明細'!$B:$B,"收入",'收支明細'!$A:$A,A40))</f>
        <v/>
      </c>
      <c r="F40" s="40" t="str">
        <f>IF(A40="","",SUMIFS('固定支出'!$C:$C,'固定支出'!$G:$G,"是",'固定支出'!$D:$D,A40))</f>
        <v/>
      </c>
      <c r="G40" s="40" t="str">
        <f>IF(A40="","",SUMIFS('收支明細'!$E:$E,'收支明細'!$B:$B,"支出",'收支明細'!$A:$A,A40))</f>
        <v/>
      </c>
      <c r="H40" s="40" t="str">
        <f>IF(OR(A40="",A40&lt;'月度總覽'!$F$6),0,'月度總覽'!$F$13)</f>
        <v>0.00</v>
      </c>
      <c r="I40" s="40" t="str">
        <f t="shared" si="2"/>
        <v/>
      </c>
      <c r="J40" s="40" t="str">
        <f>IF(OR(A40="",A40&lt;'月度總覽'!$F$6),"",'月度總覽'!$F$12-SUM($H$5:H40)+IF(AND('月度總覽'!$B$10="到帳日自動計入",'月度總覽'!$B$8&gt;'月度總覽'!$B$7,'月度總覽'!$B$8&lt;=A40),'月度總覽'!$B$9,0)+SUMIFS($E$5:E40,$A$5:A40,"&gt;"&amp;'月度總覽'!$B$7)-SUMIFS($G$5:G40,$A$5:A40,"&gt;"&amp;'月度總覽'!$B$7))</f>
        <v/>
      </c>
    </row>
    <row r="41" ht="15.75" customHeight="1">
      <c r="A41" s="39" t="str">
        <f>IF(37&lt;='月度總覽'!$F$5,'月度總覽'!$B$5+37-1,"")</f>
        <v/>
      </c>
      <c r="B41" t="str">
        <f t="shared" si="1"/>
        <v/>
      </c>
      <c r="C41" t="str">
        <f>IF(A41="","",IF(A41&lt;'月度總覽'!$F$6,"已過",IF(A41='月度總覽'!$F$6,"基準日","未來")))</f>
        <v/>
      </c>
      <c r="D41" s="40" t="str">
        <f>IF(A41="","",IF(A41='月度總覽'!$B$8,'月度總覽'!$B$9,0))</f>
        <v/>
      </c>
      <c r="E41" s="40" t="str">
        <f>IF(A41="","",SUMIFS('收支明細'!$E:$E,'收支明細'!$B:$B,"收入",'收支明細'!$A:$A,A41))</f>
        <v/>
      </c>
      <c r="F41" s="40" t="str">
        <f>IF(A41="","",SUMIFS('固定支出'!$C:$C,'固定支出'!$G:$G,"是",'固定支出'!$D:$D,A41))</f>
        <v/>
      </c>
      <c r="G41" s="40" t="str">
        <f>IF(A41="","",SUMIFS('收支明細'!$E:$E,'收支明細'!$B:$B,"支出",'收支明細'!$A:$A,A41))</f>
        <v/>
      </c>
      <c r="H41" s="40" t="str">
        <f>IF(OR(A41="",A41&lt;'月度總覽'!$F$6),0,'月度總覽'!$F$13)</f>
        <v>0.00</v>
      </c>
      <c r="I41" s="40" t="str">
        <f t="shared" si="2"/>
        <v/>
      </c>
      <c r="J41" s="40" t="str">
        <f>IF(OR(A41="",A41&lt;'月度總覽'!$F$6),"",'月度總覽'!$F$12-SUM($H$5:H41)+IF(AND('月度總覽'!$B$10="到帳日自動計入",'月度總覽'!$B$8&gt;'月度總覽'!$B$7,'月度總覽'!$B$8&lt;=A41),'月度總覽'!$B$9,0)+SUMIFS($E$5:E41,$A$5:A41,"&gt;"&amp;'月度總覽'!$B$7)-SUMIFS($G$5:G41,$A$5:A41,"&gt;"&amp;'月度總覽'!$B$7))</f>
        <v/>
      </c>
    </row>
    <row r="42" ht="15.75" customHeight="1">
      <c r="A42" s="39" t="str">
        <f>IF(38&lt;='月度總覽'!$F$5,'月度總覽'!$B$5+38-1,"")</f>
        <v/>
      </c>
      <c r="B42" t="str">
        <f t="shared" si="1"/>
        <v/>
      </c>
      <c r="C42" t="str">
        <f>IF(A42="","",IF(A42&lt;'月度總覽'!$F$6,"已過",IF(A42='月度總覽'!$F$6,"基準日","未來")))</f>
        <v/>
      </c>
      <c r="D42" s="40" t="str">
        <f>IF(A42="","",IF(A42='月度總覽'!$B$8,'月度總覽'!$B$9,0))</f>
        <v/>
      </c>
      <c r="E42" s="40" t="str">
        <f>IF(A42="","",SUMIFS('收支明細'!$E:$E,'收支明細'!$B:$B,"收入",'收支明細'!$A:$A,A42))</f>
        <v/>
      </c>
      <c r="F42" s="40" t="str">
        <f>IF(A42="","",SUMIFS('固定支出'!$C:$C,'固定支出'!$G:$G,"是",'固定支出'!$D:$D,A42))</f>
        <v/>
      </c>
      <c r="G42" s="40" t="str">
        <f>IF(A42="","",SUMIFS('收支明細'!$E:$E,'收支明細'!$B:$B,"支出",'收支明細'!$A:$A,A42))</f>
        <v/>
      </c>
      <c r="H42" s="40" t="str">
        <f>IF(OR(A42="",A42&lt;'月度總覽'!$F$6),0,'月度總覽'!$F$13)</f>
        <v>0.00</v>
      </c>
      <c r="I42" s="40" t="str">
        <f t="shared" si="2"/>
        <v/>
      </c>
      <c r="J42" s="40" t="str">
        <f>IF(OR(A42="",A42&lt;'月度總覽'!$F$6),"",'月度總覽'!$F$12-SUM($H$5:H42)+IF(AND('月度總覽'!$B$10="到帳日自動計入",'月度總覽'!$B$8&gt;'月度總覽'!$B$7,'月度總覽'!$B$8&lt;=A42),'月度總覽'!$B$9,0)+SUMIFS($E$5:E42,$A$5:A42,"&gt;"&amp;'月度總覽'!$B$7)-SUMIFS($G$5:G42,$A$5:A42,"&gt;"&amp;'月度總覽'!$B$7))</f>
        <v/>
      </c>
    </row>
    <row r="43" ht="15.75" customHeight="1">
      <c r="A43" s="39" t="str">
        <f>IF(39&lt;='月度總覽'!$F$5,'月度總覽'!$B$5+39-1,"")</f>
        <v/>
      </c>
      <c r="B43" t="str">
        <f t="shared" si="1"/>
        <v/>
      </c>
      <c r="C43" t="str">
        <f>IF(A43="","",IF(A43&lt;'月度總覽'!$F$6,"已過",IF(A43='月度總覽'!$F$6,"基準日","未來")))</f>
        <v/>
      </c>
      <c r="D43" s="40" t="str">
        <f>IF(A43="","",IF(A43='月度總覽'!$B$8,'月度總覽'!$B$9,0))</f>
        <v/>
      </c>
      <c r="E43" s="40" t="str">
        <f>IF(A43="","",SUMIFS('收支明細'!$E:$E,'收支明細'!$B:$B,"收入",'收支明細'!$A:$A,A43))</f>
        <v/>
      </c>
      <c r="F43" s="40" t="str">
        <f>IF(A43="","",SUMIFS('固定支出'!$C:$C,'固定支出'!$G:$G,"是",'固定支出'!$D:$D,A43))</f>
        <v/>
      </c>
      <c r="G43" s="40" t="str">
        <f>IF(A43="","",SUMIFS('收支明細'!$E:$E,'收支明細'!$B:$B,"支出",'收支明細'!$A:$A,A43))</f>
        <v/>
      </c>
      <c r="H43" s="40" t="str">
        <f>IF(OR(A43="",A43&lt;'月度總覽'!$F$6),0,'月度總覽'!$F$13)</f>
        <v>0.00</v>
      </c>
      <c r="I43" s="40" t="str">
        <f t="shared" si="2"/>
        <v/>
      </c>
      <c r="J43" s="40" t="str">
        <f>IF(OR(A43="",A43&lt;'月度總覽'!$F$6),"",'月度總覽'!$F$12-SUM($H$5:H43)+IF(AND('月度總覽'!$B$10="到帳日自動計入",'月度總覽'!$B$8&gt;'月度總覽'!$B$7,'月度總覽'!$B$8&lt;=A43),'月度總覽'!$B$9,0)+SUMIFS($E$5:E43,$A$5:A43,"&gt;"&amp;'月度總覽'!$B$7)-SUMIFS($G$5:G43,$A$5:A43,"&gt;"&amp;'月度總覽'!$B$7))</f>
        <v/>
      </c>
    </row>
    <row r="44" ht="15.75" customHeight="1">
      <c r="A44" s="39" t="str">
        <f>IF(40&lt;='月度總覽'!$F$5,'月度總覽'!$B$5+40-1,"")</f>
        <v/>
      </c>
      <c r="B44" t="str">
        <f t="shared" si="1"/>
        <v/>
      </c>
      <c r="C44" t="str">
        <f>IF(A44="","",IF(A44&lt;'月度總覽'!$F$6,"已過",IF(A44='月度總覽'!$F$6,"基準日","未來")))</f>
        <v/>
      </c>
      <c r="D44" s="40" t="str">
        <f>IF(A44="","",IF(A44='月度總覽'!$B$8,'月度總覽'!$B$9,0))</f>
        <v/>
      </c>
      <c r="E44" s="40" t="str">
        <f>IF(A44="","",SUMIFS('收支明細'!$E:$E,'收支明細'!$B:$B,"收入",'收支明細'!$A:$A,A44))</f>
        <v/>
      </c>
      <c r="F44" s="40" t="str">
        <f>IF(A44="","",SUMIFS('固定支出'!$C:$C,'固定支出'!$G:$G,"是",'固定支出'!$D:$D,A44))</f>
        <v/>
      </c>
      <c r="G44" s="40" t="str">
        <f>IF(A44="","",SUMIFS('收支明細'!$E:$E,'收支明細'!$B:$B,"支出",'收支明細'!$A:$A,A44))</f>
        <v/>
      </c>
      <c r="H44" s="40" t="str">
        <f>IF(OR(A44="",A44&lt;'月度總覽'!$F$6),0,'月度總覽'!$F$13)</f>
        <v>0.00</v>
      </c>
      <c r="I44" s="40" t="str">
        <f t="shared" si="2"/>
        <v/>
      </c>
      <c r="J44" s="40" t="str">
        <f>IF(OR(A44="",A44&lt;'月度總覽'!$F$6),"",'月度總覽'!$F$12-SUM($H$5:H44)+IF(AND('月度總覽'!$B$10="到帳日自動計入",'月度總覽'!$B$8&gt;'月度總覽'!$B$7,'月度總覽'!$B$8&lt;=A44),'月度總覽'!$B$9,0)+SUMIFS($E$5:E44,$A$5:A44,"&gt;"&amp;'月度總覽'!$B$7)-SUMIFS($G$5:G44,$A$5:A44,"&gt;"&amp;'月度總覽'!$B$7))</f>
        <v/>
      </c>
    </row>
    <row r="45" ht="15.75" customHeight="1">
      <c r="A45" s="39" t="str">
        <f>IF(41&lt;='月度總覽'!$F$5,'月度總覽'!$B$5+41-1,"")</f>
        <v/>
      </c>
      <c r="B45" t="str">
        <f t="shared" si="1"/>
        <v/>
      </c>
      <c r="C45" t="str">
        <f>IF(A45="","",IF(A45&lt;'月度總覽'!$F$6,"已過",IF(A45='月度總覽'!$F$6,"基準日","未來")))</f>
        <v/>
      </c>
      <c r="D45" s="40" t="str">
        <f>IF(A45="","",IF(A45='月度總覽'!$B$8,'月度總覽'!$B$9,0))</f>
        <v/>
      </c>
      <c r="E45" s="40" t="str">
        <f>IF(A45="","",SUMIFS('收支明細'!$E:$E,'收支明細'!$B:$B,"收入",'收支明細'!$A:$A,A45))</f>
        <v/>
      </c>
      <c r="F45" s="40" t="str">
        <f>IF(A45="","",SUMIFS('固定支出'!$C:$C,'固定支出'!$G:$G,"是",'固定支出'!$D:$D,A45))</f>
        <v/>
      </c>
      <c r="G45" s="40" t="str">
        <f>IF(A45="","",SUMIFS('收支明細'!$E:$E,'收支明細'!$B:$B,"支出",'收支明細'!$A:$A,A45))</f>
        <v/>
      </c>
      <c r="H45" s="40" t="str">
        <f>IF(OR(A45="",A45&lt;'月度總覽'!$F$6),0,'月度總覽'!$F$13)</f>
        <v>0.00</v>
      </c>
      <c r="I45" s="40" t="str">
        <f t="shared" si="2"/>
        <v/>
      </c>
      <c r="J45" s="40" t="str">
        <f>IF(OR(A45="",A45&lt;'月度總覽'!$F$6),"",'月度總覽'!$F$12-SUM($H$5:H45)+IF(AND('月度總覽'!$B$10="到帳日自動計入",'月度總覽'!$B$8&gt;'月度總覽'!$B$7,'月度總覽'!$B$8&lt;=A45),'月度總覽'!$B$9,0)+SUMIFS($E$5:E45,$A$5:A45,"&gt;"&amp;'月度總覽'!$B$7)-SUMIFS($G$5:G45,$A$5:A45,"&gt;"&amp;'月度總覽'!$B$7))</f>
        <v/>
      </c>
    </row>
    <row r="46" ht="15.75" customHeight="1">
      <c r="A46" s="39" t="str">
        <f>IF(42&lt;='月度總覽'!$F$5,'月度總覽'!$B$5+42-1,"")</f>
        <v/>
      </c>
      <c r="B46" t="str">
        <f t="shared" si="1"/>
        <v/>
      </c>
      <c r="C46" t="str">
        <f>IF(A46="","",IF(A46&lt;'月度總覽'!$F$6,"已過",IF(A46='月度總覽'!$F$6,"基準日","未來")))</f>
        <v/>
      </c>
      <c r="D46" s="40" t="str">
        <f>IF(A46="","",IF(A46='月度總覽'!$B$8,'月度總覽'!$B$9,0))</f>
        <v/>
      </c>
      <c r="E46" s="40" t="str">
        <f>IF(A46="","",SUMIFS('收支明細'!$E:$E,'收支明細'!$B:$B,"收入",'收支明細'!$A:$A,A46))</f>
        <v/>
      </c>
      <c r="F46" s="40" t="str">
        <f>IF(A46="","",SUMIFS('固定支出'!$C:$C,'固定支出'!$G:$G,"是",'固定支出'!$D:$D,A46))</f>
        <v/>
      </c>
      <c r="G46" s="40" t="str">
        <f>IF(A46="","",SUMIFS('收支明細'!$E:$E,'收支明細'!$B:$B,"支出",'收支明細'!$A:$A,A46))</f>
        <v/>
      </c>
      <c r="H46" s="40" t="str">
        <f>IF(OR(A46="",A46&lt;'月度總覽'!$F$6),0,'月度總覽'!$F$13)</f>
        <v>0.00</v>
      </c>
      <c r="I46" s="40" t="str">
        <f t="shared" si="2"/>
        <v/>
      </c>
      <c r="J46" s="40" t="str">
        <f>IF(OR(A46="",A46&lt;'月度總覽'!$F$6),"",'月度總覽'!$F$12-SUM($H$5:H46)+IF(AND('月度總覽'!$B$10="到帳日自動計入",'月度總覽'!$B$8&gt;'月度總覽'!$B$7,'月度總覽'!$B$8&lt;=A46),'月度總覽'!$B$9,0)+SUMIFS($E$5:E46,$A$5:A46,"&gt;"&amp;'月度總覽'!$B$7)-SUMIFS($G$5:G46,$A$5:A46,"&gt;"&amp;'月度總覽'!$B$7))</f>
        <v/>
      </c>
    </row>
    <row r="47" ht="15.75" customHeight="1">
      <c r="A47" s="39" t="str">
        <f>IF(43&lt;='月度總覽'!$F$5,'月度總覽'!$B$5+43-1,"")</f>
        <v/>
      </c>
      <c r="B47" t="str">
        <f t="shared" si="1"/>
        <v/>
      </c>
      <c r="C47" t="str">
        <f>IF(A47="","",IF(A47&lt;'月度總覽'!$F$6,"已過",IF(A47='月度總覽'!$F$6,"基準日","未來")))</f>
        <v/>
      </c>
      <c r="D47" s="40" t="str">
        <f>IF(A47="","",IF(A47='月度總覽'!$B$8,'月度總覽'!$B$9,0))</f>
        <v/>
      </c>
      <c r="E47" s="40" t="str">
        <f>IF(A47="","",SUMIFS('收支明細'!$E:$E,'收支明細'!$B:$B,"收入",'收支明細'!$A:$A,A47))</f>
        <v/>
      </c>
      <c r="F47" s="40" t="str">
        <f>IF(A47="","",SUMIFS('固定支出'!$C:$C,'固定支出'!$G:$G,"是",'固定支出'!$D:$D,A47))</f>
        <v/>
      </c>
      <c r="G47" s="40" t="str">
        <f>IF(A47="","",SUMIFS('收支明細'!$E:$E,'收支明細'!$B:$B,"支出",'收支明細'!$A:$A,A47))</f>
        <v/>
      </c>
      <c r="H47" s="40" t="str">
        <f>IF(OR(A47="",A47&lt;'月度總覽'!$F$6),0,'月度總覽'!$F$13)</f>
        <v>0.00</v>
      </c>
      <c r="I47" s="40" t="str">
        <f t="shared" si="2"/>
        <v/>
      </c>
      <c r="J47" s="40" t="str">
        <f>IF(OR(A47="",A47&lt;'月度總覽'!$F$6),"",'月度總覽'!$F$12-SUM($H$5:H47)+IF(AND('月度總覽'!$B$10="到帳日自動計入",'月度總覽'!$B$8&gt;'月度總覽'!$B$7,'月度總覽'!$B$8&lt;=A47),'月度總覽'!$B$9,0)+SUMIFS($E$5:E47,$A$5:A47,"&gt;"&amp;'月度總覽'!$B$7)-SUMIFS($G$5:G47,$A$5:A47,"&gt;"&amp;'月度總覽'!$B$7))</f>
        <v/>
      </c>
    </row>
    <row r="48" ht="15.75" customHeight="1">
      <c r="A48" s="39" t="str">
        <f>IF(44&lt;='月度總覽'!$F$5,'月度總覽'!$B$5+44-1,"")</f>
        <v/>
      </c>
      <c r="B48" t="str">
        <f t="shared" si="1"/>
        <v/>
      </c>
      <c r="C48" t="str">
        <f>IF(A48="","",IF(A48&lt;'月度總覽'!$F$6,"已過",IF(A48='月度總覽'!$F$6,"基準日","未來")))</f>
        <v/>
      </c>
      <c r="D48" s="40" t="str">
        <f>IF(A48="","",IF(A48='月度總覽'!$B$8,'月度總覽'!$B$9,0))</f>
        <v/>
      </c>
      <c r="E48" s="40" t="str">
        <f>IF(A48="","",SUMIFS('收支明細'!$E:$E,'收支明細'!$B:$B,"收入",'收支明細'!$A:$A,A48))</f>
        <v/>
      </c>
      <c r="F48" s="40" t="str">
        <f>IF(A48="","",SUMIFS('固定支出'!$C:$C,'固定支出'!$G:$G,"是",'固定支出'!$D:$D,A48))</f>
        <v/>
      </c>
      <c r="G48" s="40" t="str">
        <f>IF(A48="","",SUMIFS('收支明細'!$E:$E,'收支明細'!$B:$B,"支出",'收支明細'!$A:$A,A48))</f>
        <v/>
      </c>
      <c r="H48" s="40" t="str">
        <f>IF(OR(A48="",A48&lt;'月度總覽'!$F$6),0,'月度總覽'!$F$13)</f>
        <v>0.00</v>
      </c>
      <c r="I48" s="40" t="str">
        <f t="shared" si="2"/>
        <v/>
      </c>
      <c r="J48" s="40" t="str">
        <f>IF(OR(A48="",A48&lt;'月度總覽'!$F$6),"",'月度總覽'!$F$12-SUM($H$5:H48)+IF(AND('月度總覽'!$B$10="到帳日自動計入",'月度總覽'!$B$8&gt;'月度總覽'!$B$7,'月度總覽'!$B$8&lt;=A48),'月度總覽'!$B$9,0)+SUMIFS($E$5:E48,$A$5:A48,"&gt;"&amp;'月度總覽'!$B$7)-SUMIFS($G$5:G48,$A$5:A48,"&gt;"&amp;'月度總覽'!$B$7))</f>
        <v/>
      </c>
    </row>
    <row r="49" ht="15.75" customHeight="1">
      <c r="A49" s="39" t="str">
        <f>IF(45&lt;='月度總覽'!$F$5,'月度總覽'!$B$5+45-1,"")</f>
        <v/>
      </c>
      <c r="B49" t="str">
        <f t="shared" si="1"/>
        <v/>
      </c>
      <c r="C49" t="str">
        <f>IF(A49="","",IF(A49&lt;'月度總覽'!$F$6,"已過",IF(A49='月度總覽'!$F$6,"基準日","未來")))</f>
        <v/>
      </c>
      <c r="D49" s="40" t="str">
        <f>IF(A49="","",IF(A49='月度總覽'!$B$8,'月度總覽'!$B$9,0))</f>
        <v/>
      </c>
      <c r="E49" s="40" t="str">
        <f>IF(A49="","",SUMIFS('收支明細'!$E:$E,'收支明細'!$B:$B,"收入",'收支明細'!$A:$A,A49))</f>
        <v/>
      </c>
      <c r="F49" s="40" t="str">
        <f>IF(A49="","",SUMIFS('固定支出'!$C:$C,'固定支出'!$G:$G,"是",'固定支出'!$D:$D,A49))</f>
        <v/>
      </c>
      <c r="G49" s="40" t="str">
        <f>IF(A49="","",SUMIFS('收支明細'!$E:$E,'收支明細'!$B:$B,"支出",'收支明細'!$A:$A,A49))</f>
        <v/>
      </c>
      <c r="H49" s="40" t="str">
        <f>IF(OR(A49="",A49&lt;'月度總覽'!$F$6),0,'月度總覽'!$F$13)</f>
        <v>0.00</v>
      </c>
      <c r="I49" s="40" t="str">
        <f t="shared" si="2"/>
        <v/>
      </c>
      <c r="J49" s="40" t="str">
        <f>IF(OR(A49="",A49&lt;'月度總覽'!$F$6),"",'月度總覽'!$F$12-SUM($H$5:H49)+IF(AND('月度總覽'!$B$10="到帳日自動計入",'月度總覽'!$B$8&gt;'月度總覽'!$B$7,'月度總覽'!$B$8&lt;=A49),'月度總覽'!$B$9,0)+SUMIFS($E$5:E49,$A$5:A49,"&gt;"&amp;'月度總覽'!$B$7)-SUMIFS($G$5:G49,$A$5:A49,"&gt;"&amp;'月度總覽'!$B$7))</f>
        <v/>
      </c>
    </row>
    <row r="50" ht="15.75" customHeight="1">
      <c r="A50" s="39" t="str">
        <f>IF(46&lt;='月度總覽'!$F$5,'月度總覽'!$B$5+46-1,"")</f>
        <v/>
      </c>
      <c r="B50" t="str">
        <f t="shared" si="1"/>
        <v/>
      </c>
      <c r="C50" t="str">
        <f>IF(A50="","",IF(A50&lt;'月度總覽'!$F$6,"已過",IF(A50='月度總覽'!$F$6,"基準日","未來")))</f>
        <v/>
      </c>
      <c r="D50" s="40" t="str">
        <f>IF(A50="","",IF(A50='月度總覽'!$B$8,'月度總覽'!$B$9,0))</f>
        <v/>
      </c>
      <c r="E50" s="40" t="str">
        <f>IF(A50="","",SUMIFS('收支明細'!$E:$E,'收支明細'!$B:$B,"收入",'收支明細'!$A:$A,A50))</f>
        <v/>
      </c>
      <c r="F50" s="40" t="str">
        <f>IF(A50="","",SUMIFS('固定支出'!$C:$C,'固定支出'!$G:$G,"是",'固定支出'!$D:$D,A50))</f>
        <v/>
      </c>
      <c r="G50" s="40" t="str">
        <f>IF(A50="","",SUMIFS('收支明細'!$E:$E,'收支明細'!$B:$B,"支出",'收支明細'!$A:$A,A50))</f>
        <v/>
      </c>
      <c r="H50" s="40" t="str">
        <f>IF(OR(A50="",A50&lt;'月度總覽'!$F$6),0,'月度總覽'!$F$13)</f>
        <v>0.00</v>
      </c>
      <c r="I50" s="40" t="str">
        <f t="shared" si="2"/>
        <v/>
      </c>
      <c r="J50" s="40" t="str">
        <f>IF(OR(A50="",A50&lt;'月度總覽'!$F$6),"",'月度總覽'!$F$12-SUM($H$5:H50)+IF(AND('月度總覽'!$B$10="到帳日自動計入",'月度總覽'!$B$8&gt;'月度總覽'!$B$7,'月度總覽'!$B$8&lt;=A50),'月度總覽'!$B$9,0)+SUMIFS($E$5:E50,$A$5:A50,"&gt;"&amp;'月度總覽'!$B$7)-SUMIFS($G$5:G50,$A$5:A50,"&gt;"&amp;'月度總覽'!$B$7))</f>
        <v/>
      </c>
    </row>
    <row r="51" ht="15.75" customHeight="1">
      <c r="A51" s="39" t="str">
        <f>IF(47&lt;='月度總覽'!$F$5,'月度總覽'!$B$5+47-1,"")</f>
        <v/>
      </c>
      <c r="B51" t="str">
        <f t="shared" si="1"/>
        <v/>
      </c>
      <c r="C51" t="str">
        <f>IF(A51="","",IF(A51&lt;'月度總覽'!$F$6,"已過",IF(A51='月度總覽'!$F$6,"基準日","未來")))</f>
        <v/>
      </c>
      <c r="D51" s="40" t="str">
        <f>IF(A51="","",IF(A51='月度總覽'!$B$8,'月度總覽'!$B$9,0))</f>
        <v/>
      </c>
      <c r="E51" s="40" t="str">
        <f>IF(A51="","",SUMIFS('收支明細'!$E:$E,'收支明細'!$B:$B,"收入",'收支明細'!$A:$A,A51))</f>
        <v/>
      </c>
      <c r="F51" s="40" t="str">
        <f>IF(A51="","",SUMIFS('固定支出'!$C:$C,'固定支出'!$G:$G,"是",'固定支出'!$D:$D,A51))</f>
        <v/>
      </c>
      <c r="G51" s="40" t="str">
        <f>IF(A51="","",SUMIFS('收支明細'!$E:$E,'收支明細'!$B:$B,"支出",'收支明細'!$A:$A,A51))</f>
        <v/>
      </c>
      <c r="H51" s="40" t="str">
        <f>IF(OR(A51="",A51&lt;'月度總覽'!$F$6),0,'月度總覽'!$F$13)</f>
        <v>0.00</v>
      </c>
      <c r="I51" s="40" t="str">
        <f t="shared" si="2"/>
        <v/>
      </c>
      <c r="J51" s="40" t="str">
        <f>IF(OR(A51="",A51&lt;'月度總覽'!$F$6),"",'月度總覽'!$F$12-SUM($H$5:H51)+IF(AND('月度總覽'!$B$10="到帳日自動計入",'月度總覽'!$B$8&gt;'月度總覽'!$B$7,'月度總覽'!$B$8&lt;=A51),'月度總覽'!$B$9,0)+SUMIFS($E$5:E51,$A$5:A51,"&gt;"&amp;'月度總覽'!$B$7)-SUMIFS($G$5:G51,$A$5:A51,"&gt;"&amp;'月度總覽'!$B$7))</f>
        <v/>
      </c>
    </row>
    <row r="52" ht="15.75" customHeight="1">
      <c r="A52" s="39" t="str">
        <f>IF(48&lt;='月度總覽'!$F$5,'月度總覽'!$B$5+48-1,"")</f>
        <v/>
      </c>
      <c r="B52" t="str">
        <f t="shared" si="1"/>
        <v/>
      </c>
      <c r="C52" t="str">
        <f>IF(A52="","",IF(A52&lt;'月度總覽'!$F$6,"已過",IF(A52='月度總覽'!$F$6,"基準日","未來")))</f>
        <v/>
      </c>
      <c r="D52" s="40" t="str">
        <f>IF(A52="","",IF(A52='月度總覽'!$B$8,'月度總覽'!$B$9,0))</f>
        <v/>
      </c>
      <c r="E52" s="40" t="str">
        <f>IF(A52="","",SUMIFS('收支明細'!$E:$E,'收支明細'!$B:$B,"收入",'收支明細'!$A:$A,A52))</f>
        <v/>
      </c>
      <c r="F52" s="40" t="str">
        <f>IF(A52="","",SUMIFS('固定支出'!$C:$C,'固定支出'!$G:$G,"是",'固定支出'!$D:$D,A52))</f>
        <v/>
      </c>
      <c r="G52" s="40" t="str">
        <f>IF(A52="","",SUMIFS('收支明細'!$E:$E,'收支明細'!$B:$B,"支出",'收支明細'!$A:$A,A52))</f>
        <v/>
      </c>
      <c r="H52" s="40" t="str">
        <f>IF(OR(A52="",A52&lt;'月度總覽'!$F$6),0,'月度總覽'!$F$13)</f>
        <v>0.00</v>
      </c>
      <c r="I52" s="40" t="str">
        <f t="shared" si="2"/>
        <v/>
      </c>
      <c r="J52" s="40" t="str">
        <f>IF(OR(A52="",A52&lt;'月度總覽'!$F$6),"",'月度總覽'!$F$12-SUM($H$5:H52)+IF(AND('月度總覽'!$B$10="到帳日自動計入",'月度總覽'!$B$8&gt;'月度總覽'!$B$7,'月度總覽'!$B$8&lt;=A52),'月度總覽'!$B$9,0)+SUMIFS($E$5:E52,$A$5:A52,"&gt;"&amp;'月度總覽'!$B$7)-SUMIFS($G$5:G52,$A$5:A52,"&gt;"&amp;'月度總覽'!$B$7))</f>
        <v/>
      </c>
    </row>
    <row r="53" ht="15.75" customHeight="1">
      <c r="A53" s="39" t="str">
        <f>IF(49&lt;='月度總覽'!$F$5,'月度總覽'!$B$5+49-1,"")</f>
        <v/>
      </c>
      <c r="B53" t="str">
        <f t="shared" si="1"/>
        <v/>
      </c>
      <c r="C53" t="str">
        <f>IF(A53="","",IF(A53&lt;'月度總覽'!$F$6,"已過",IF(A53='月度總覽'!$F$6,"基準日","未來")))</f>
        <v/>
      </c>
      <c r="D53" s="40" t="str">
        <f>IF(A53="","",IF(A53='月度總覽'!$B$8,'月度總覽'!$B$9,0))</f>
        <v/>
      </c>
      <c r="E53" s="40" t="str">
        <f>IF(A53="","",SUMIFS('收支明細'!$E:$E,'收支明細'!$B:$B,"收入",'收支明細'!$A:$A,A53))</f>
        <v/>
      </c>
      <c r="F53" s="40" t="str">
        <f>IF(A53="","",SUMIFS('固定支出'!$C:$C,'固定支出'!$G:$G,"是",'固定支出'!$D:$D,A53))</f>
        <v/>
      </c>
      <c r="G53" s="40" t="str">
        <f>IF(A53="","",SUMIFS('收支明細'!$E:$E,'收支明細'!$B:$B,"支出",'收支明細'!$A:$A,A53))</f>
        <v/>
      </c>
      <c r="H53" s="40" t="str">
        <f>IF(OR(A53="",A53&lt;'月度總覽'!$F$6),0,'月度總覽'!$F$13)</f>
        <v>0.00</v>
      </c>
      <c r="I53" s="40" t="str">
        <f t="shared" si="2"/>
        <v/>
      </c>
      <c r="J53" s="40" t="str">
        <f>IF(OR(A53="",A53&lt;'月度總覽'!$F$6),"",'月度總覽'!$F$12-SUM($H$5:H53)+IF(AND('月度總覽'!$B$10="到帳日自動計入",'月度總覽'!$B$8&gt;'月度總覽'!$B$7,'月度總覽'!$B$8&lt;=A53),'月度總覽'!$B$9,0)+SUMIFS($E$5:E53,$A$5:A53,"&gt;"&amp;'月度總覽'!$B$7)-SUMIFS($G$5:G53,$A$5:A53,"&gt;"&amp;'月度總覽'!$B$7))</f>
        <v/>
      </c>
    </row>
    <row r="54" ht="15.75" customHeight="1">
      <c r="A54" s="39" t="str">
        <f>IF(50&lt;='月度總覽'!$F$5,'月度總覽'!$B$5+50-1,"")</f>
        <v/>
      </c>
      <c r="B54" t="str">
        <f t="shared" si="1"/>
        <v/>
      </c>
      <c r="C54" t="str">
        <f>IF(A54="","",IF(A54&lt;'月度總覽'!$F$6,"已過",IF(A54='月度總覽'!$F$6,"基準日","未來")))</f>
        <v/>
      </c>
      <c r="D54" s="40" t="str">
        <f>IF(A54="","",IF(A54='月度總覽'!$B$8,'月度總覽'!$B$9,0))</f>
        <v/>
      </c>
      <c r="E54" s="40" t="str">
        <f>IF(A54="","",SUMIFS('收支明細'!$E:$E,'收支明細'!$B:$B,"收入",'收支明細'!$A:$A,A54))</f>
        <v/>
      </c>
      <c r="F54" s="40" t="str">
        <f>IF(A54="","",SUMIFS('固定支出'!$C:$C,'固定支出'!$G:$G,"是",'固定支出'!$D:$D,A54))</f>
        <v/>
      </c>
      <c r="G54" s="40" t="str">
        <f>IF(A54="","",SUMIFS('收支明細'!$E:$E,'收支明細'!$B:$B,"支出",'收支明細'!$A:$A,A54))</f>
        <v/>
      </c>
      <c r="H54" s="40" t="str">
        <f>IF(OR(A54="",A54&lt;'月度總覽'!$F$6),0,'月度總覽'!$F$13)</f>
        <v>0.00</v>
      </c>
      <c r="I54" s="40" t="str">
        <f t="shared" si="2"/>
        <v/>
      </c>
      <c r="J54" s="40" t="str">
        <f>IF(OR(A54="",A54&lt;'月度總覽'!$F$6),"",'月度總覽'!$F$12-SUM($H$5:H54)+IF(AND('月度總覽'!$B$10="到帳日自動計入",'月度總覽'!$B$8&gt;'月度總覽'!$B$7,'月度總覽'!$B$8&lt;=A54),'月度總覽'!$B$9,0)+SUMIFS($E$5:E54,$A$5:A54,"&gt;"&amp;'月度總覽'!$B$7)-SUMIFS($G$5:G54,$A$5:A54,"&gt;"&amp;'月度總覽'!$B$7))</f>
        <v/>
      </c>
    </row>
    <row r="55" ht="15.75" customHeight="1">
      <c r="A55" s="39" t="str">
        <f>IF(51&lt;='月度總覽'!$F$5,'月度總覽'!$B$5+51-1,"")</f>
        <v/>
      </c>
      <c r="B55" t="str">
        <f t="shared" si="1"/>
        <v/>
      </c>
      <c r="C55" t="str">
        <f>IF(A55="","",IF(A55&lt;'月度總覽'!$F$6,"已過",IF(A55='月度總覽'!$F$6,"基準日","未來")))</f>
        <v/>
      </c>
      <c r="D55" s="40" t="str">
        <f>IF(A55="","",IF(A55='月度總覽'!$B$8,'月度總覽'!$B$9,0))</f>
        <v/>
      </c>
      <c r="E55" s="40" t="str">
        <f>IF(A55="","",SUMIFS('收支明細'!$E:$E,'收支明細'!$B:$B,"收入",'收支明細'!$A:$A,A55))</f>
        <v/>
      </c>
      <c r="F55" s="40" t="str">
        <f>IF(A55="","",SUMIFS('固定支出'!$C:$C,'固定支出'!$G:$G,"是",'固定支出'!$D:$D,A55))</f>
        <v/>
      </c>
      <c r="G55" s="40" t="str">
        <f>IF(A55="","",SUMIFS('收支明細'!$E:$E,'收支明細'!$B:$B,"支出",'收支明細'!$A:$A,A55))</f>
        <v/>
      </c>
      <c r="H55" s="40" t="str">
        <f>IF(OR(A55="",A55&lt;'月度總覽'!$F$6),0,'月度總覽'!$F$13)</f>
        <v>0.00</v>
      </c>
      <c r="I55" s="40" t="str">
        <f t="shared" si="2"/>
        <v/>
      </c>
      <c r="J55" s="40" t="str">
        <f>IF(OR(A55="",A55&lt;'月度總覽'!$F$6),"",'月度總覽'!$F$12-SUM($H$5:H55)+IF(AND('月度總覽'!$B$10="到帳日自動計入",'月度總覽'!$B$8&gt;'月度總覽'!$B$7,'月度總覽'!$B$8&lt;=A55),'月度總覽'!$B$9,0)+SUMIFS($E$5:E55,$A$5:A55,"&gt;"&amp;'月度總覽'!$B$7)-SUMIFS($G$5:G55,$A$5:A55,"&gt;"&amp;'月度總覽'!$B$7))</f>
        <v/>
      </c>
    </row>
    <row r="56" ht="15.75" customHeight="1">
      <c r="A56" s="39" t="str">
        <f>IF(52&lt;='月度總覽'!$F$5,'月度總覽'!$B$5+52-1,"")</f>
        <v/>
      </c>
      <c r="B56" t="str">
        <f t="shared" si="1"/>
        <v/>
      </c>
      <c r="C56" t="str">
        <f>IF(A56="","",IF(A56&lt;'月度總覽'!$F$6,"已過",IF(A56='月度總覽'!$F$6,"基準日","未來")))</f>
        <v/>
      </c>
      <c r="D56" s="40" t="str">
        <f>IF(A56="","",IF(A56='月度總覽'!$B$8,'月度總覽'!$B$9,0))</f>
        <v/>
      </c>
      <c r="E56" s="40" t="str">
        <f>IF(A56="","",SUMIFS('收支明細'!$E:$E,'收支明細'!$B:$B,"收入",'收支明細'!$A:$A,A56))</f>
        <v/>
      </c>
      <c r="F56" s="40" t="str">
        <f>IF(A56="","",SUMIFS('固定支出'!$C:$C,'固定支出'!$G:$G,"是",'固定支出'!$D:$D,A56))</f>
        <v/>
      </c>
      <c r="G56" s="40" t="str">
        <f>IF(A56="","",SUMIFS('收支明細'!$E:$E,'收支明細'!$B:$B,"支出",'收支明細'!$A:$A,A56))</f>
        <v/>
      </c>
      <c r="H56" s="40" t="str">
        <f>IF(OR(A56="",A56&lt;'月度總覽'!$F$6),0,'月度總覽'!$F$13)</f>
        <v>0.00</v>
      </c>
      <c r="I56" s="40" t="str">
        <f t="shared" si="2"/>
        <v/>
      </c>
      <c r="J56" s="40" t="str">
        <f>IF(OR(A56="",A56&lt;'月度總覽'!$F$6),"",'月度總覽'!$F$12-SUM($H$5:H56)+IF(AND('月度總覽'!$B$10="到帳日自動計入",'月度總覽'!$B$8&gt;'月度總覽'!$B$7,'月度總覽'!$B$8&lt;=A56),'月度總覽'!$B$9,0)+SUMIFS($E$5:E56,$A$5:A56,"&gt;"&amp;'月度總覽'!$B$7)-SUMIFS($G$5:G56,$A$5:A56,"&gt;"&amp;'月度總覽'!$B$7))</f>
        <v/>
      </c>
    </row>
    <row r="57" ht="15.75" customHeight="1">
      <c r="A57" s="39" t="str">
        <f>IF(53&lt;='月度總覽'!$F$5,'月度總覽'!$B$5+53-1,"")</f>
        <v/>
      </c>
      <c r="B57" t="str">
        <f t="shared" si="1"/>
        <v/>
      </c>
      <c r="C57" t="str">
        <f>IF(A57="","",IF(A57&lt;'月度總覽'!$F$6,"已過",IF(A57='月度總覽'!$F$6,"基準日","未來")))</f>
        <v/>
      </c>
      <c r="D57" s="40" t="str">
        <f>IF(A57="","",IF(A57='月度總覽'!$B$8,'月度總覽'!$B$9,0))</f>
        <v/>
      </c>
      <c r="E57" s="40" t="str">
        <f>IF(A57="","",SUMIFS('收支明細'!$E:$E,'收支明細'!$B:$B,"收入",'收支明細'!$A:$A,A57))</f>
        <v/>
      </c>
      <c r="F57" s="40" t="str">
        <f>IF(A57="","",SUMIFS('固定支出'!$C:$C,'固定支出'!$G:$G,"是",'固定支出'!$D:$D,A57))</f>
        <v/>
      </c>
      <c r="G57" s="40" t="str">
        <f>IF(A57="","",SUMIFS('收支明細'!$E:$E,'收支明細'!$B:$B,"支出",'收支明細'!$A:$A,A57))</f>
        <v/>
      </c>
      <c r="H57" s="40" t="str">
        <f>IF(OR(A57="",A57&lt;'月度總覽'!$F$6),0,'月度總覽'!$F$13)</f>
        <v>0.00</v>
      </c>
      <c r="I57" s="40" t="str">
        <f t="shared" si="2"/>
        <v/>
      </c>
      <c r="J57" s="40" t="str">
        <f>IF(OR(A57="",A57&lt;'月度總覽'!$F$6),"",'月度總覽'!$F$12-SUM($H$5:H57)+IF(AND('月度總覽'!$B$10="到帳日自動計入",'月度總覽'!$B$8&gt;'月度總覽'!$B$7,'月度總覽'!$B$8&lt;=A57),'月度總覽'!$B$9,0)+SUMIFS($E$5:E57,$A$5:A57,"&gt;"&amp;'月度總覽'!$B$7)-SUMIFS($G$5:G57,$A$5:A57,"&gt;"&amp;'月度總覽'!$B$7))</f>
        <v/>
      </c>
    </row>
    <row r="58" ht="15.75" customHeight="1">
      <c r="A58" s="39" t="str">
        <f>IF(54&lt;='月度總覽'!$F$5,'月度總覽'!$B$5+54-1,"")</f>
        <v/>
      </c>
      <c r="B58" t="str">
        <f t="shared" si="1"/>
        <v/>
      </c>
      <c r="C58" t="str">
        <f>IF(A58="","",IF(A58&lt;'月度總覽'!$F$6,"已過",IF(A58='月度總覽'!$F$6,"基準日","未來")))</f>
        <v/>
      </c>
      <c r="D58" s="40" t="str">
        <f>IF(A58="","",IF(A58='月度總覽'!$B$8,'月度總覽'!$B$9,0))</f>
        <v/>
      </c>
      <c r="E58" s="40" t="str">
        <f>IF(A58="","",SUMIFS('收支明細'!$E:$E,'收支明細'!$B:$B,"收入",'收支明細'!$A:$A,A58))</f>
        <v/>
      </c>
      <c r="F58" s="40" t="str">
        <f>IF(A58="","",SUMIFS('固定支出'!$C:$C,'固定支出'!$G:$G,"是",'固定支出'!$D:$D,A58))</f>
        <v/>
      </c>
      <c r="G58" s="40" t="str">
        <f>IF(A58="","",SUMIFS('收支明細'!$E:$E,'收支明細'!$B:$B,"支出",'收支明細'!$A:$A,A58))</f>
        <v/>
      </c>
      <c r="H58" s="40" t="str">
        <f>IF(OR(A58="",A58&lt;'月度總覽'!$F$6),0,'月度總覽'!$F$13)</f>
        <v>0.00</v>
      </c>
      <c r="I58" s="40" t="str">
        <f t="shared" si="2"/>
        <v/>
      </c>
      <c r="J58" s="40" t="str">
        <f>IF(OR(A58="",A58&lt;'月度總覽'!$F$6),"",'月度總覽'!$F$12-SUM($H$5:H58)+IF(AND('月度總覽'!$B$10="到帳日自動計入",'月度總覽'!$B$8&gt;'月度總覽'!$B$7,'月度總覽'!$B$8&lt;=A58),'月度總覽'!$B$9,0)+SUMIFS($E$5:E58,$A$5:A58,"&gt;"&amp;'月度總覽'!$B$7)-SUMIFS($G$5:G58,$A$5:A58,"&gt;"&amp;'月度總覽'!$B$7))</f>
        <v/>
      </c>
    </row>
    <row r="59" ht="15.75" customHeight="1">
      <c r="A59" s="39" t="str">
        <f>IF(55&lt;='月度總覽'!$F$5,'月度總覽'!$B$5+55-1,"")</f>
        <v/>
      </c>
      <c r="B59" t="str">
        <f t="shared" si="1"/>
        <v/>
      </c>
      <c r="C59" t="str">
        <f>IF(A59="","",IF(A59&lt;'月度總覽'!$F$6,"已過",IF(A59='月度總覽'!$F$6,"基準日","未來")))</f>
        <v/>
      </c>
      <c r="D59" s="40" t="str">
        <f>IF(A59="","",IF(A59='月度總覽'!$B$8,'月度總覽'!$B$9,0))</f>
        <v/>
      </c>
      <c r="E59" s="40" t="str">
        <f>IF(A59="","",SUMIFS('收支明細'!$E:$E,'收支明細'!$B:$B,"收入",'收支明細'!$A:$A,A59))</f>
        <v/>
      </c>
      <c r="F59" s="40" t="str">
        <f>IF(A59="","",SUMIFS('固定支出'!$C:$C,'固定支出'!$G:$G,"是",'固定支出'!$D:$D,A59))</f>
        <v/>
      </c>
      <c r="G59" s="40" t="str">
        <f>IF(A59="","",SUMIFS('收支明細'!$E:$E,'收支明細'!$B:$B,"支出",'收支明細'!$A:$A,A59))</f>
        <v/>
      </c>
      <c r="H59" s="40" t="str">
        <f>IF(OR(A59="",A59&lt;'月度總覽'!$F$6),0,'月度總覽'!$F$13)</f>
        <v>0.00</v>
      </c>
      <c r="I59" s="40" t="str">
        <f t="shared" si="2"/>
        <v/>
      </c>
      <c r="J59" s="40" t="str">
        <f>IF(OR(A59="",A59&lt;'月度總覽'!$F$6),"",'月度總覽'!$F$12-SUM($H$5:H59)+IF(AND('月度總覽'!$B$10="到帳日自動計入",'月度總覽'!$B$8&gt;'月度總覽'!$B$7,'月度總覽'!$B$8&lt;=A59),'月度總覽'!$B$9,0)+SUMIFS($E$5:E59,$A$5:A59,"&gt;"&amp;'月度總覽'!$B$7)-SUMIFS($G$5:G59,$A$5:A59,"&gt;"&amp;'月度總覽'!$B$7))</f>
        <v/>
      </c>
    </row>
    <row r="60" ht="15.75" customHeight="1">
      <c r="A60" s="39" t="str">
        <f>IF(56&lt;='月度總覽'!$F$5,'月度總覽'!$B$5+56-1,"")</f>
        <v/>
      </c>
      <c r="B60" t="str">
        <f t="shared" si="1"/>
        <v/>
      </c>
      <c r="C60" t="str">
        <f>IF(A60="","",IF(A60&lt;'月度總覽'!$F$6,"已過",IF(A60='月度總覽'!$F$6,"基準日","未來")))</f>
        <v/>
      </c>
      <c r="D60" s="40" t="str">
        <f>IF(A60="","",IF(A60='月度總覽'!$B$8,'月度總覽'!$B$9,0))</f>
        <v/>
      </c>
      <c r="E60" s="40" t="str">
        <f>IF(A60="","",SUMIFS('收支明細'!$E:$E,'收支明細'!$B:$B,"收入",'收支明細'!$A:$A,A60))</f>
        <v/>
      </c>
      <c r="F60" s="40" t="str">
        <f>IF(A60="","",SUMIFS('固定支出'!$C:$C,'固定支出'!$G:$G,"是",'固定支出'!$D:$D,A60))</f>
        <v/>
      </c>
      <c r="G60" s="40" t="str">
        <f>IF(A60="","",SUMIFS('收支明細'!$E:$E,'收支明細'!$B:$B,"支出",'收支明細'!$A:$A,A60))</f>
        <v/>
      </c>
      <c r="H60" s="40" t="str">
        <f>IF(OR(A60="",A60&lt;'月度總覽'!$F$6),0,'月度總覽'!$F$13)</f>
        <v>0.00</v>
      </c>
      <c r="I60" s="40" t="str">
        <f t="shared" si="2"/>
        <v/>
      </c>
      <c r="J60" s="40" t="str">
        <f>IF(OR(A60="",A60&lt;'月度總覽'!$F$6),"",'月度總覽'!$F$12-SUM($H$5:H60)+IF(AND('月度總覽'!$B$10="到帳日自動計入",'月度總覽'!$B$8&gt;'月度總覽'!$B$7,'月度總覽'!$B$8&lt;=A60),'月度總覽'!$B$9,0)+SUMIFS($E$5:E60,$A$5:A60,"&gt;"&amp;'月度總覽'!$B$7)-SUMIFS($G$5:G60,$A$5:A60,"&gt;"&amp;'月度總覽'!$B$7))</f>
        <v/>
      </c>
    </row>
    <row r="61" ht="15.75" customHeight="1">
      <c r="A61" s="39" t="str">
        <f>IF(57&lt;='月度總覽'!$F$5,'月度總覽'!$B$5+57-1,"")</f>
        <v/>
      </c>
      <c r="B61" t="str">
        <f t="shared" si="1"/>
        <v/>
      </c>
      <c r="C61" t="str">
        <f>IF(A61="","",IF(A61&lt;'月度總覽'!$F$6,"已過",IF(A61='月度總覽'!$F$6,"基準日","未來")))</f>
        <v/>
      </c>
      <c r="D61" s="40" t="str">
        <f>IF(A61="","",IF(A61='月度總覽'!$B$8,'月度總覽'!$B$9,0))</f>
        <v/>
      </c>
      <c r="E61" s="40" t="str">
        <f>IF(A61="","",SUMIFS('收支明細'!$E:$E,'收支明細'!$B:$B,"收入",'收支明細'!$A:$A,A61))</f>
        <v/>
      </c>
      <c r="F61" s="40" t="str">
        <f>IF(A61="","",SUMIFS('固定支出'!$C:$C,'固定支出'!$G:$G,"是",'固定支出'!$D:$D,A61))</f>
        <v/>
      </c>
      <c r="G61" s="40" t="str">
        <f>IF(A61="","",SUMIFS('收支明細'!$E:$E,'收支明細'!$B:$B,"支出",'收支明細'!$A:$A,A61))</f>
        <v/>
      </c>
      <c r="H61" s="40" t="str">
        <f>IF(OR(A61="",A61&lt;'月度總覽'!$F$6),0,'月度總覽'!$F$13)</f>
        <v>0.00</v>
      </c>
      <c r="I61" s="40" t="str">
        <f t="shared" si="2"/>
        <v/>
      </c>
      <c r="J61" s="40" t="str">
        <f>IF(OR(A61="",A61&lt;'月度總覽'!$F$6),"",'月度總覽'!$F$12-SUM($H$5:H61)+IF(AND('月度總覽'!$B$10="到帳日自動計入",'月度總覽'!$B$8&gt;'月度總覽'!$B$7,'月度總覽'!$B$8&lt;=A61),'月度總覽'!$B$9,0)+SUMIFS($E$5:E61,$A$5:A61,"&gt;"&amp;'月度總覽'!$B$7)-SUMIFS($G$5:G61,$A$5:A61,"&gt;"&amp;'月度總覽'!$B$7))</f>
        <v/>
      </c>
    </row>
    <row r="62" ht="15.75" customHeight="1">
      <c r="A62" s="39" t="str">
        <f>IF(58&lt;='月度總覽'!$F$5,'月度總覽'!$B$5+58-1,"")</f>
        <v/>
      </c>
      <c r="B62" t="str">
        <f t="shared" si="1"/>
        <v/>
      </c>
      <c r="C62" t="str">
        <f>IF(A62="","",IF(A62&lt;'月度總覽'!$F$6,"已過",IF(A62='月度總覽'!$F$6,"基準日","未來")))</f>
        <v/>
      </c>
      <c r="D62" s="40" t="str">
        <f>IF(A62="","",IF(A62='月度總覽'!$B$8,'月度總覽'!$B$9,0))</f>
        <v/>
      </c>
      <c r="E62" s="40" t="str">
        <f>IF(A62="","",SUMIFS('收支明細'!$E:$E,'收支明細'!$B:$B,"收入",'收支明細'!$A:$A,A62))</f>
        <v/>
      </c>
      <c r="F62" s="40" t="str">
        <f>IF(A62="","",SUMIFS('固定支出'!$C:$C,'固定支出'!$G:$G,"是",'固定支出'!$D:$D,A62))</f>
        <v/>
      </c>
      <c r="G62" s="40" t="str">
        <f>IF(A62="","",SUMIFS('收支明細'!$E:$E,'收支明細'!$B:$B,"支出",'收支明細'!$A:$A,A62))</f>
        <v/>
      </c>
      <c r="H62" s="40" t="str">
        <f>IF(OR(A62="",A62&lt;'月度總覽'!$F$6),0,'月度總覽'!$F$13)</f>
        <v>0.00</v>
      </c>
      <c r="I62" s="40" t="str">
        <f t="shared" si="2"/>
        <v/>
      </c>
      <c r="J62" s="40" t="str">
        <f>IF(OR(A62="",A62&lt;'月度總覽'!$F$6),"",'月度總覽'!$F$12-SUM($H$5:H62)+IF(AND('月度總覽'!$B$10="到帳日自動計入",'月度總覽'!$B$8&gt;'月度總覽'!$B$7,'月度總覽'!$B$8&lt;=A62),'月度總覽'!$B$9,0)+SUMIFS($E$5:E62,$A$5:A62,"&gt;"&amp;'月度總覽'!$B$7)-SUMIFS($G$5:G62,$A$5:A62,"&gt;"&amp;'月度總覽'!$B$7))</f>
        <v/>
      </c>
    </row>
    <row r="63" ht="15.75" customHeight="1">
      <c r="A63" s="39" t="str">
        <f>IF(59&lt;='月度總覽'!$F$5,'月度總覽'!$B$5+59-1,"")</f>
        <v/>
      </c>
      <c r="B63" t="str">
        <f t="shared" si="1"/>
        <v/>
      </c>
      <c r="C63" t="str">
        <f>IF(A63="","",IF(A63&lt;'月度總覽'!$F$6,"已過",IF(A63='月度總覽'!$F$6,"基準日","未來")))</f>
        <v/>
      </c>
      <c r="D63" s="40" t="str">
        <f>IF(A63="","",IF(A63='月度總覽'!$B$8,'月度總覽'!$B$9,0))</f>
        <v/>
      </c>
      <c r="E63" s="40" t="str">
        <f>IF(A63="","",SUMIFS('收支明細'!$E:$E,'收支明細'!$B:$B,"收入",'收支明細'!$A:$A,A63))</f>
        <v/>
      </c>
      <c r="F63" s="40" t="str">
        <f>IF(A63="","",SUMIFS('固定支出'!$C:$C,'固定支出'!$G:$G,"是",'固定支出'!$D:$D,A63))</f>
        <v/>
      </c>
      <c r="G63" s="40" t="str">
        <f>IF(A63="","",SUMIFS('收支明細'!$E:$E,'收支明細'!$B:$B,"支出",'收支明細'!$A:$A,A63))</f>
        <v/>
      </c>
      <c r="H63" s="40" t="str">
        <f>IF(OR(A63="",A63&lt;'月度總覽'!$F$6),0,'月度總覽'!$F$13)</f>
        <v>0.00</v>
      </c>
      <c r="I63" s="40" t="str">
        <f t="shared" si="2"/>
        <v/>
      </c>
      <c r="J63" s="40" t="str">
        <f>IF(OR(A63="",A63&lt;'月度總覽'!$F$6),"",'月度總覽'!$F$12-SUM($H$5:H63)+IF(AND('月度總覽'!$B$10="到帳日自動計入",'月度總覽'!$B$8&gt;'月度總覽'!$B$7,'月度總覽'!$B$8&lt;=A63),'月度總覽'!$B$9,0)+SUMIFS($E$5:E63,$A$5:A63,"&gt;"&amp;'月度總覽'!$B$7)-SUMIFS($G$5:G63,$A$5:A63,"&gt;"&amp;'月度總覽'!$B$7))</f>
        <v/>
      </c>
    </row>
    <row r="64" ht="15.75" customHeight="1">
      <c r="A64" s="39" t="str">
        <f>IF(60&lt;='月度總覽'!$F$5,'月度總覽'!$B$5+60-1,"")</f>
        <v/>
      </c>
      <c r="B64" t="str">
        <f t="shared" si="1"/>
        <v/>
      </c>
      <c r="C64" t="str">
        <f>IF(A64="","",IF(A64&lt;'月度總覽'!$F$6,"已過",IF(A64='月度總覽'!$F$6,"基準日","未來")))</f>
        <v/>
      </c>
      <c r="D64" s="40" t="str">
        <f>IF(A64="","",IF(A64='月度總覽'!$B$8,'月度總覽'!$B$9,0))</f>
        <v/>
      </c>
      <c r="E64" s="40" t="str">
        <f>IF(A64="","",SUMIFS('收支明細'!$E:$E,'收支明細'!$B:$B,"收入",'收支明細'!$A:$A,A64))</f>
        <v/>
      </c>
      <c r="F64" s="40" t="str">
        <f>IF(A64="","",SUMIFS('固定支出'!$C:$C,'固定支出'!$G:$G,"是",'固定支出'!$D:$D,A64))</f>
        <v/>
      </c>
      <c r="G64" s="40" t="str">
        <f>IF(A64="","",SUMIFS('收支明細'!$E:$E,'收支明細'!$B:$B,"支出",'收支明細'!$A:$A,A64))</f>
        <v/>
      </c>
      <c r="H64" s="40" t="str">
        <f>IF(OR(A64="",A64&lt;'月度總覽'!$F$6),0,'月度總覽'!$F$13)</f>
        <v>0.00</v>
      </c>
      <c r="I64" s="40" t="str">
        <f t="shared" si="2"/>
        <v/>
      </c>
      <c r="J64" s="40" t="str">
        <f>IF(OR(A64="",A64&lt;'月度總覽'!$F$6),"",'月度總覽'!$F$12-SUM($H$5:H64)+IF(AND('月度總覽'!$B$10="到帳日自動計入",'月度總覽'!$B$8&gt;'月度總覽'!$B$7,'月度總覽'!$B$8&lt;=A64),'月度總覽'!$B$9,0)+SUMIFS($E$5:E64,$A$5:A64,"&gt;"&amp;'月度總覽'!$B$7)-SUMIFS($G$5:G64,$A$5:A64,"&gt;"&amp;'月度總覽'!$B$7))</f>
        <v/>
      </c>
    </row>
    <row r="65" ht="15.75" customHeight="1">
      <c r="A65" s="39" t="str">
        <f>IF(61&lt;='月度總覽'!$F$5,'月度總覽'!$B$5+61-1,"")</f>
        <v/>
      </c>
      <c r="B65" t="str">
        <f t="shared" si="1"/>
        <v/>
      </c>
      <c r="C65" t="str">
        <f>IF(A65="","",IF(A65&lt;'月度總覽'!$F$6,"已過",IF(A65='月度總覽'!$F$6,"基準日","未來")))</f>
        <v/>
      </c>
      <c r="D65" s="40" t="str">
        <f>IF(A65="","",IF(A65='月度總覽'!$B$8,'月度總覽'!$B$9,0))</f>
        <v/>
      </c>
      <c r="E65" s="40" t="str">
        <f>IF(A65="","",SUMIFS('收支明細'!$E:$E,'收支明細'!$B:$B,"收入",'收支明細'!$A:$A,A65))</f>
        <v/>
      </c>
      <c r="F65" s="40" t="str">
        <f>IF(A65="","",SUMIFS('固定支出'!$C:$C,'固定支出'!$G:$G,"是",'固定支出'!$D:$D,A65))</f>
        <v/>
      </c>
      <c r="G65" s="40" t="str">
        <f>IF(A65="","",SUMIFS('收支明細'!$E:$E,'收支明細'!$B:$B,"支出",'收支明細'!$A:$A,A65))</f>
        <v/>
      </c>
      <c r="H65" s="40" t="str">
        <f>IF(OR(A65="",A65&lt;'月度總覽'!$F$6),0,'月度總覽'!$F$13)</f>
        <v>0.00</v>
      </c>
      <c r="I65" s="40" t="str">
        <f t="shared" si="2"/>
        <v/>
      </c>
      <c r="J65" s="40" t="str">
        <f>IF(OR(A65="",A65&lt;'月度總覽'!$F$6),"",'月度總覽'!$F$12-SUM($H$5:H65)+IF(AND('月度總覽'!$B$10="到帳日自動計入",'月度總覽'!$B$8&gt;'月度總覽'!$B$7,'月度總覽'!$B$8&lt;=A65),'月度總覽'!$B$9,0)+SUMIFS($E$5:E65,$A$5:A65,"&gt;"&amp;'月度總覽'!$B$7)-SUMIFS($G$5:G65,$A$5:A65,"&gt;"&amp;'月度總覽'!$B$7))</f>
        <v/>
      </c>
    </row>
    <row r="66" ht="15.75" customHeight="1">
      <c r="A66" s="39" t="str">
        <f>IF(62&lt;='月度總覽'!$F$5,'月度總覽'!$B$5+62-1,"")</f>
        <v/>
      </c>
      <c r="B66" t="str">
        <f t="shared" si="1"/>
        <v/>
      </c>
      <c r="C66" t="str">
        <f>IF(A66="","",IF(A66&lt;'月度總覽'!$F$6,"已過",IF(A66='月度總覽'!$F$6,"基準日","未來")))</f>
        <v/>
      </c>
      <c r="D66" s="40" t="str">
        <f>IF(A66="","",IF(A66='月度總覽'!$B$8,'月度總覽'!$B$9,0))</f>
        <v/>
      </c>
      <c r="E66" s="40" t="str">
        <f>IF(A66="","",SUMIFS('收支明細'!$E:$E,'收支明細'!$B:$B,"收入",'收支明細'!$A:$A,A66))</f>
        <v/>
      </c>
      <c r="F66" s="40" t="str">
        <f>IF(A66="","",SUMIFS('固定支出'!$C:$C,'固定支出'!$G:$G,"是",'固定支出'!$D:$D,A66))</f>
        <v/>
      </c>
      <c r="G66" s="40" t="str">
        <f>IF(A66="","",SUMIFS('收支明細'!$E:$E,'收支明細'!$B:$B,"支出",'收支明細'!$A:$A,A66))</f>
        <v/>
      </c>
      <c r="H66" s="40" t="str">
        <f>IF(OR(A66="",A66&lt;'月度總覽'!$F$6),0,'月度總覽'!$F$13)</f>
        <v>0.00</v>
      </c>
      <c r="I66" s="40" t="str">
        <f t="shared" si="2"/>
        <v/>
      </c>
      <c r="J66" s="40" t="str">
        <f>IF(OR(A66="",A66&lt;'月度總覽'!$F$6),"",'月度總覽'!$F$12-SUM($H$5:H66)+IF(AND('月度總覽'!$B$10="到帳日自動計入",'月度總覽'!$B$8&gt;'月度總覽'!$B$7,'月度總覽'!$B$8&lt;=A66),'月度總覽'!$B$9,0)+SUMIFS($E$5:E66,$A$5:A66,"&gt;"&amp;'月度總覽'!$B$7)-SUMIFS($G$5:G66,$A$5:A66,"&gt;"&amp;'月度總覽'!$B$7))</f>
        <v/>
      </c>
    </row>
    <row r="67" ht="15.75" customHeight="1">
      <c r="A67" s="39" t="str">
        <f>IF(63&lt;='月度總覽'!$F$5,'月度總覽'!$B$5+63-1,"")</f>
        <v/>
      </c>
      <c r="B67" t="str">
        <f t="shared" si="1"/>
        <v/>
      </c>
      <c r="C67" t="str">
        <f>IF(A67="","",IF(A67&lt;'月度總覽'!$F$6,"已過",IF(A67='月度總覽'!$F$6,"基準日","未來")))</f>
        <v/>
      </c>
      <c r="D67" s="40" t="str">
        <f>IF(A67="","",IF(A67='月度總覽'!$B$8,'月度總覽'!$B$9,0))</f>
        <v/>
      </c>
      <c r="E67" s="40" t="str">
        <f>IF(A67="","",SUMIFS('收支明細'!$E:$E,'收支明細'!$B:$B,"收入",'收支明細'!$A:$A,A67))</f>
        <v/>
      </c>
      <c r="F67" s="40" t="str">
        <f>IF(A67="","",SUMIFS('固定支出'!$C:$C,'固定支出'!$G:$G,"是",'固定支出'!$D:$D,A67))</f>
        <v/>
      </c>
      <c r="G67" s="40" t="str">
        <f>IF(A67="","",SUMIFS('收支明細'!$E:$E,'收支明細'!$B:$B,"支出",'收支明細'!$A:$A,A67))</f>
        <v/>
      </c>
      <c r="H67" s="40" t="str">
        <f>IF(OR(A67="",A67&lt;'月度總覽'!$F$6),0,'月度總覽'!$F$13)</f>
        <v>0.00</v>
      </c>
      <c r="I67" s="40" t="str">
        <f t="shared" si="2"/>
        <v/>
      </c>
      <c r="J67" s="40" t="str">
        <f>IF(OR(A67="",A67&lt;'月度總覽'!$F$6),"",'月度總覽'!$F$12-SUM($H$5:H67)+IF(AND('月度總覽'!$B$10="到帳日自動計入",'月度總覽'!$B$8&gt;'月度總覽'!$B$7,'月度總覽'!$B$8&lt;=A67),'月度總覽'!$B$9,0)+SUMIFS($E$5:E67,$A$5:A67,"&gt;"&amp;'月度總覽'!$B$7)-SUMIFS($G$5:G67,$A$5:A67,"&gt;"&amp;'月度總覽'!$B$7))</f>
        <v/>
      </c>
    </row>
    <row r="68" ht="15.75" customHeight="1">
      <c r="A68" s="39" t="str">
        <f>IF(64&lt;='月度總覽'!$F$5,'月度總覽'!$B$5+64-1,"")</f>
        <v/>
      </c>
      <c r="B68" t="str">
        <f t="shared" si="1"/>
        <v/>
      </c>
      <c r="C68" t="str">
        <f>IF(A68="","",IF(A68&lt;'月度總覽'!$F$6,"已過",IF(A68='月度總覽'!$F$6,"基準日","未來")))</f>
        <v/>
      </c>
      <c r="D68" s="40" t="str">
        <f>IF(A68="","",IF(A68='月度總覽'!$B$8,'月度總覽'!$B$9,0))</f>
        <v/>
      </c>
      <c r="E68" s="40" t="str">
        <f>IF(A68="","",SUMIFS('收支明細'!$E:$E,'收支明細'!$B:$B,"收入",'收支明細'!$A:$A,A68))</f>
        <v/>
      </c>
      <c r="F68" s="40" t="str">
        <f>IF(A68="","",SUMIFS('固定支出'!$C:$C,'固定支出'!$G:$G,"是",'固定支出'!$D:$D,A68))</f>
        <v/>
      </c>
      <c r="G68" s="40" t="str">
        <f>IF(A68="","",SUMIFS('收支明細'!$E:$E,'收支明細'!$B:$B,"支出",'收支明細'!$A:$A,A68))</f>
        <v/>
      </c>
      <c r="H68" s="40" t="str">
        <f>IF(OR(A68="",A68&lt;'月度總覽'!$F$6),0,'月度總覽'!$F$13)</f>
        <v>0.00</v>
      </c>
      <c r="I68" s="40" t="str">
        <f t="shared" si="2"/>
        <v/>
      </c>
      <c r="J68" s="40" t="str">
        <f>IF(OR(A68="",A68&lt;'月度總覽'!$F$6),"",'月度總覽'!$F$12-SUM($H$5:H68)+IF(AND('月度總覽'!$B$10="到帳日自動計入",'月度總覽'!$B$8&gt;'月度總覽'!$B$7,'月度總覽'!$B$8&lt;=A68),'月度總覽'!$B$9,0)+SUMIFS($E$5:E68,$A$5:A68,"&gt;"&amp;'月度總覽'!$B$7)-SUMIFS($G$5:G68,$A$5:A68,"&gt;"&amp;'月度總覽'!$B$7))</f>
        <v/>
      </c>
    </row>
    <row r="69" ht="15.75" customHeight="1">
      <c r="A69" s="39" t="str">
        <f>IF(65&lt;='月度總覽'!$F$5,'月度總覽'!$B$5+65-1,"")</f>
        <v/>
      </c>
      <c r="B69" t="str">
        <f t="shared" si="1"/>
        <v/>
      </c>
      <c r="C69" t="str">
        <f>IF(A69="","",IF(A69&lt;'月度總覽'!$F$6,"已過",IF(A69='月度總覽'!$F$6,"基準日","未來")))</f>
        <v/>
      </c>
      <c r="D69" s="40" t="str">
        <f>IF(A69="","",IF(A69='月度總覽'!$B$8,'月度總覽'!$B$9,0))</f>
        <v/>
      </c>
      <c r="E69" s="40" t="str">
        <f>IF(A69="","",SUMIFS('收支明細'!$E:$E,'收支明細'!$B:$B,"收入",'收支明細'!$A:$A,A69))</f>
        <v/>
      </c>
      <c r="F69" s="40" t="str">
        <f>IF(A69="","",SUMIFS('固定支出'!$C:$C,'固定支出'!$G:$G,"是",'固定支出'!$D:$D,A69))</f>
        <v/>
      </c>
      <c r="G69" s="40" t="str">
        <f>IF(A69="","",SUMIFS('收支明細'!$E:$E,'收支明細'!$B:$B,"支出",'收支明細'!$A:$A,A69))</f>
        <v/>
      </c>
      <c r="H69" s="40" t="str">
        <f>IF(OR(A69="",A69&lt;'月度總覽'!$F$6),0,'月度總覽'!$F$13)</f>
        <v>0.00</v>
      </c>
      <c r="I69" s="40" t="str">
        <f t="shared" si="2"/>
        <v/>
      </c>
      <c r="J69" s="40" t="str">
        <f>IF(OR(A69="",A69&lt;'月度總覽'!$F$6),"",'月度總覽'!$F$12-SUM($H$5:H69)+IF(AND('月度總覽'!$B$10="到帳日自動計入",'月度總覽'!$B$8&gt;'月度總覽'!$B$7,'月度總覽'!$B$8&lt;=A69),'月度總覽'!$B$9,0)+SUMIFS($E$5:E69,$A$5:A69,"&gt;"&amp;'月度總覽'!$B$7)-SUMIFS($G$5:G69,$A$5:A69,"&gt;"&amp;'月度總覽'!$B$7))</f>
        <v/>
      </c>
    </row>
    <row r="70" ht="15.75" customHeight="1">
      <c r="A70" s="39" t="str">
        <f>IF(66&lt;='月度總覽'!$F$5,'月度總覽'!$B$5+66-1,"")</f>
        <v/>
      </c>
      <c r="B70" t="str">
        <f t="shared" si="1"/>
        <v/>
      </c>
      <c r="C70" t="str">
        <f>IF(A70="","",IF(A70&lt;'月度總覽'!$F$6,"已過",IF(A70='月度總覽'!$F$6,"基準日","未來")))</f>
        <v/>
      </c>
      <c r="D70" s="40" t="str">
        <f>IF(A70="","",IF(A70='月度總覽'!$B$8,'月度總覽'!$B$9,0))</f>
        <v/>
      </c>
      <c r="E70" s="40" t="str">
        <f>IF(A70="","",SUMIFS('收支明細'!$E:$E,'收支明細'!$B:$B,"收入",'收支明細'!$A:$A,A70))</f>
        <v/>
      </c>
      <c r="F70" s="40" t="str">
        <f>IF(A70="","",SUMIFS('固定支出'!$C:$C,'固定支出'!$G:$G,"是",'固定支出'!$D:$D,A70))</f>
        <v/>
      </c>
      <c r="G70" s="40" t="str">
        <f>IF(A70="","",SUMIFS('收支明細'!$E:$E,'收支明細'!$B:$B,"支出",'收支明細'!$A:$A,A70))</f>
        <v/>
      </c>
      <c r="H70" s="40" t="str">
        <f>IF(OR(A70="",A70&lt;'月度總覽'!$F$6),0,'月度總覽'!$F$13)</f>
        <v>0.00</v>
      </c>
      <c r="I70" s="40" t="str">
        <f t="shared" si="2"/>
        <v/>
      </c>
      <c r="J70" s="40" t="str">
        <f>IF(OR(A70="",A70&lt;'月度總覽'!$F$6),"",'月度總覽'!$F$12-SUM($H$5:H70)+IF(AND('月度總覽'!$B$10="到帳日自動計入",'月度總覽'!$B$8&gt;'月度總覽'!$B$7,'月度總覽'!$B$8&lt;=A70),'月度總覽'!$B$9,0)+SUMIFS($E$5:E70,$A$5:A70,"&gt;"&amp;'月度總覽'!$B$7)-SUMIFS($G$5:G70,$A$5:A70,"&gt;"&amp;'月度總覽'!$B$7))</f>
        <v/>
      </c>
    </row>
    <row r="71" ht="15.75" customHeight="1">
      <c r="A71" s="39" t="str">
        <f>IF(67&lt;='月度總覽'!$F$5,'月度總覽'!$B$5+67-1,"")</f>
        <v/>
      </c>
      <c r="B71" t="str">
        <f t="shared" si="1"/>
        <v/>
      </c>
      <c r="C71" t="str">
        <f>IF(A71="","",IF(A71&lt;'月度總覽'!$F$6,"已過",IF(A71='月度總覽'!$F$6,"基準日","未來")))</f>
        <v/>
      </c>
      <c r="D71" s="40" t="str">
        <f>IF(A71="","",IF(A71='月度總覽'!$B$8,'月度總覽'!$B$9,0))</f>
        <v/>
      </c>
      <c r="E71" s="40" t="str">
        <f>IF(A71="","",SUMIFS('收支明細'!$E:$E,'收支明細'!$B:$B,"收入",'收支明細'!$A:$A,A71))</f>
        <v/>
      </c>
      <c r="F71" s="40" t="str">
        <f>IF(A71="","",SUMIFS('固定支出'!$C:$C,'固定支出'!$G:$G,"是",'固定支出'!$D:$D,A71))</f>
        <v/>
      </c>
      <c r="G71" s="40" t="str">
        <f>IF(A71="","",SUMIFS('收支明細'!$E:$E,'收支明細'!$B:$B,"支出",'收支明細'!$A:$A,A71))</f>
        <v/>
      </c>
      <c r="H71" s="40" t="str">
        <f>IF(OR(A71="",A71&lt;'月度總覽'!$F$6),0,'月度總覽'!$F$13)</f>
        <v>0.00</v>
      </c>
      <c r="I71" s="40" t="str">
        <f t="shared" si="2"/>
        <v/>
      </c>
      <c r="J71" s="40" t="str">
        <f>IF(OR(A71="",A71&lt;'月度總覽'!$F$6),"",'月度總覽'!$F$12-SUM($H$5:H71)+IF(AND('月度總覽'!$B$10="到帳日自動計入",'月度總覽'!$B$8&gt;'月度總覽'!$B$7,'月度總覽'!$B$8&lt;=A71),'月度總覽'!$B$9,0)+SUMIFS($E$5:E71,$A$5:A71,"&gt;"&amp;'月度總覽'!$B$7)-SUMIFS($G$5:G71,$A$5:A71,"&gt;"&amp;'月度總覽'!$B$7))</f>
        <v/>
      </c>
    </row>
    <row r="72" ht="15.75" customHeight="1">
      <c r="A72" s="39" t="str">
        <f>IF(68&lt;='月度總覽'!$F$5,'月度總覽'!$B$5+68-1,"")</f>
        <v/>
      </c>
      <c r="B72" t="str">
        <f t="shared" si="1"/>
        <v/>
      </c>
      <c r="C72" t="str">
        <f>IF(A72="","",IF(A72&lt;'月度總覽'!$F$6,"已過",IF(A72='月度總覽'!$F$6,"基準日","未來")))</f>
        <v/>
      </c>
      <c r="D72" s="40" t="str">
        <f>IF(A72="","",IF(A72='月度總覽'!$B$8,'月度總覽'!$B$9,0))</f>
        <v/>
      </c>
      <c r="E72" s="40" t="str">
        <f>IF(A72="","",SUMIFS('收支明細'!$E:$E,'收支明細'!$B:$B,"收入",'收支明細'!$A:$A,A72))</f>
        <v/>
      </c>
      <c r="F72" s="40" t="str">
        <f>IF(A72="","",SUMIFS('固定支出'!$C:$C,'固定支出'!$G:$G,"是",'固定支出'!$D:$D,A72))</f>
        <v/>
      </c>
      <c r="G72" s="40" t="str">
        <f>IF(A72="","",SUMIFS('收支明細'!$E:$E,'收支明細'!$B:$B,"支出",'收支明細'!$A:$A,A72))</f>
        <v/>
      </c>
      <c r="H72" s="40" t="str">
        <f>IF(OR(A72="",A72&lt;'月度總覽'!$F$6),0,'月度總覽'!$F$13)</f>
        <v>0.00</v>
      </c>
      <c r="I72" s="40" t="str">
        <f t="shared" si="2"/>
        <v/>
      </c>
      <c r="J72" s="40" t="str">
        <f>IF(OR(A72="",A72&lt;'月度總覽'!$F$6),"",'月度總覽'!$F$12-SUM($H$5:H72)+IF(AND('月度總覽'!$B$10="到帳日自動計入",'月度總覽'!$B$8&gt;'月度總覽'!$B$7,'月度總覽'!$B$8&lt;=A72),'月度總覽'!$B$9,0)+SUMIFS($E$5:E72,$A$5:A72,"&gt;"&amp;'月度總覽'!$B$7)-SUMIFS($G$5:G72,$A$5:A72,"&gt;"&amp;'月度總覽'!$B$7))</f>
        <v/>
      </c>
    </row>
    <row r="73" ht="15.75" customHeight="1">
      <c r="A73" s="39" t="str">
        <f>IF(69&lt;='月度總覽'!$F$5,'月度總覽'!$B$5+69-1,"")</f>
        <v/>
      </c>
      <c r="B73" t="str">
        <f t="shared" si="1"/>
        <v/>
      </c>
      <c r="C73" t="str">
        <f>IF(A73="","",IF(A73&lt;'月度總覽'!$F$6,"已過",IF(A73='月度總覽'!$F$6,"基準日","未來")))</f>
        <v/>
      </c>
      <c r="D73" s="40" t="str">
        <f>IF(A73="","",IF(A73='月度總覽'!$B$8,'月度總覽'!$B$9,0))</f>
        <v/>
      </c>
      <c r="E73" s="40" t="str">
        <f>IF(A73="","",SUMIFS('收支明細'!$E:$E,'收支明細'!$B:$B,"收入",'收支明細'!$A:$A,A73))</f>
        <v/>
      </c>
      <c r="F73" s="40" t="str">
        <f>IF(A73="","",SUMIFS('固定支出'!$C:$C,'固定支出'!$G:$G,"是",'固定支出'!$D:$D,A73))</f>
        <v/>
      </c>
      <c r="G73" s="40" t="str">
        <f>IF(A73="","",SUMIFS('收支明細'!$E:$E,'收支明細'!$B:$B,"支出",'收支明細'!$A:$A,A73))</f>
        <v/>
      </c>
      <c r="H73" s="40" t="str">
        <f>IF(OR(A73="",A73&lt;'月度總覽'!$F$6),0,'月度總覽'!$F$13)</f>
        <v>0.00</v>
      </c>
      <c r="I73" s="40" t="str">
        <f t="shared" si="2"/>
        <v/>
      </c>
      <c r="J73" s="40" t="str">
        <f>IF(OR(A73="",A73&lt;'月度總覽'!$F$6),"",'月度總覽'!$F$12-SUM($H$5:H73)+IF(AND('月度總覽'!$B$10="到帳日自動計入",'月度總覽'!$B$8&gt;'月度總覽'!$B$7,'月度總覽'!$B$8&lt;=A73),'月度總覽'!$B$9,0)+SUMIFS($E$5:E73,$A$5:A73,"&gt;"&amp;'月度總覽'!$B$7)-SUMIFS($G$5:G73,$A$5:A73,"&gt;"&amp;'月度總覽'!$B$7))</f>
        <v/>
      </c>
    </row>
    <row r="74" ht="15.75" customHeight="1">
      <c r="A74" s="39" t="str">
        <f>IF(70&lt;='月度總覽'!$F$5,'月度總覽'!$B$5+70-1,"")</f>
        <v/>
      </c>
      <c r="B74" t="str">
        <f t="shared" si="1"/>
        <v/>
      </c>
      <c r="C74" t="str">
        <f>IF(A74="","",IF(A74&lt;'月度總覽'!$F$6,"已過",IF(A74='月度總覽'!$F$6,"基準日","未來")))</f>
        <v/>
      </c>
      <c r="D74" s="40" t="str">
        <f>IF(A74="","",IF(A74='月度總覽'!$B$8,'月度總覽'!$B$9,0))</f>
        <v/>
      </c>
      <c r="E74" s="40" t="str">
        <f>IF(A74="","",SUMIFS('收支明細'!$E:$E,'收支明細'!$B:$B,"收入",'收支明細'!$A:$A,A74))</f>
        <v/>
      </c>
      <c r="F74" s="40" t="str">
        <f>IF(A74="","",SUMIFS('固定支出'!$C:$C,'固定支出'!$G:$G,"是",'固定支出'!$D:$D,A74))</f>
        <v/>
      </c>
      <c r="G74" s="40" t="str">
        <f>IF(A74="","",SUMIFS('收支明細'!$E:$E,'收支明細'!$B:$B,"支出",'收支明細'!$A:$A,A74))</f>
        <v/>
      </c>
      <c r="H74" s="40" t="str">
        <f>IF(OR(A74="",A74&lt;'月度總覽'!$F$6),0,'月度總覽'!$F$13)</f>
        <v>0.00</v>
      </c>
      <c r="I74" s="40" t="str">
        <f t="shared" si="2"/>
        <v/>
      </c>
      <c r="J74" s="40" t="str">
        <f>IF(OR(A74="",A74&lt;'月度總覽'!$F$6),"",'月度總覽'!$F$12-SUM($H$5:H74)+IF(AND('月度總覽'!$B$10="到帳日自動計入",'月度總覽'!$B$8&gt;'月度總覽'!$B$7,'月度總覽'!$B$8&lt;=A74),'月度總覽'!$B$9,0)+SUMIFS($E$5:E74,$A$5:A74,"&gt;"&amp;'月度總覽'!$B$7)-SUMIFS($G$5:G74,$A$5:A74,"&gt;"&amp;'月度總覽'!$B$7))</f>
        <v/>
      </c>
    </row>
    <row r="75" ht="15.75" customHeight="1">
      <c r="A75" s="39" t="str">
        <f>IF(71&lt;='月度總覽'!$F$5,'月度總覽'!$B$5+71-1,"")</f>
        <v/>
      </c>
      <c r="B75" t="str">
        <f t="shared" si="1"/>
        <v/>
      </c>
      <c r="C75" t="str">
        <f>IF(A75="","",IF(A75&lt;'月度總覽'!$F$6,"已過",IF(A75='月度總覽'!$F$6,"基準日","未來")))</f>
        <v/>
      </c>
      <c r="D75" s="40" t="str">
        <f>IF(A75="","",IF(A75='月度總覽'!$B$8,'月度總覽'!$B$9,0))</f>
        <v/>
      </c>
      <c r="E75" s="40" t="str">
        <f>IF(A75="","",SUMIFS('收支明細'!$E:$E,'收支明細'!$B:$B,"收入",'收支明細'!$A:$A,A75))</f>
        <v/>
      </c>
      <c r="F75" s="40" t="str">
        <f>IF(A75="","",SUMIFS('固定支出'!$C:$C,'固定支出'!$G:$G,"是",'固定支出'!$D:$D,A75))</f>
        <v/>
      </c>
      <c r="G75" s="40" t="str">
        <f>IF(A75="","",SUMIFS('收支明細'!$E:$E,'收支明細'!$B:$B,"支出",'收支明細'!$A:$A,A75))</f>
        <v/>
      </c>
      <c r="H75" s="40" t="str">
        <f>IF(OR(A75="",A75&lt;'月度總覽'!$F$6),0,'月度總覽'!$F$13)</f>
        <v>0.00</v>
      </c>
      <c r="I75" s="40" t="str">
        <f t="shared" si="2"/>
        <v/>
      </c>
      <c r="J75" s="40" t="str">
        <f>IF(OR(A75="",A75&lt;'月度總覽'!$F$6),"",'月度總覽'!$F$12-SUM($H$5:H75)+IF(AND('月度總覽'!$B$10="到帳日自動計入",'月度總覽'!$B$8&gt;'月度總覽'!$B$7,'月度總覽'!$B$8&lt;=A75),'月度總覽'!$B$9,0)+SUMIFS($E$5:E75,$A$5:A75,"&gt;"&amp;'月度總覽'!$B$7)-SUMIFS($G$5:G75,$A$5:A75,"&gt;"&amp;'月度總覽'!$B$7))</f>
        <v/>
      </c>
    </row>
    <row r="76" ht="15.75" customHeight="1">
      <c r="A76" s="39" t="str">
        <f>IF(72&lt;='月度總覽'!$F$5,'月度總覽'!$B$5+72-1,"")</f>
        <v/>
      </c>
      <c r="B76" t="str">
        <f t="shared" si="1"/>
        <v/>
      </c>
      <c r="C76" t="str">
        <f>IF(A76="","",IF(A76&lt;'月度總覽'!$F$6,"已過",IF(A76='月度總覽'!$F$6,"基準日","未來")))</f>
        <v/>
      </c>
      <c r="D76" s="40" t="str">
        <f>IF(A76="","",IF(A76='月度總覽'!$B$8,'月度總覽'!$B$9,0))</f>
        <v/>
      </c>
      <c r="E76" s="40" t="str">
        <f>IF(A76="","",SUMIFS('收支明細'!$E:$E,'收支明細'!$B:$B,"收入",'收支明細'!$A:$A,A76))</f>
        <v/>
      </c>
      <c r="F76" s="40" t="str">
        <f>IF(A76="","",SUMIFS('固定支出'!$C:$C,'固定支出'!$G:$G,"是",'固定支出'!$D:$D,A76))</f>
        <v/>
      </c>
      <c r="G76" s="40" t="str">
        <f>IF(A76="","",SUMIFS('收支明細'!$E:$E,'收支明細'!$B:$B,"支出",'收支明細'!$A:$A,A76))</f>
        <v/>
      </c>
      <c r="H76" s="40" t="str">
        <f>IF(OR(A76="",A76&lt;'月度總覽'!$F$6),0,'月度總覽'!$F$13)</f>
        <v>0.00</v>
      </c>
      <c r="I76" s="40" t="str">
        <f t="shared" si="2"/>
        <v/>
      </c>
      <c r="J76" s="40" t="str">
        <f>IF(OR(A76="",A76&lt;'月度總覽'!$F$6),"",'月度總覽'!$F$12-SUM($H$5:H76)+IF(AND('月度總覽'!$B$10="到帳日自動計入",'月度總覽'!$B$8&gt;'月度總覽'!$B$7,'月度總覽'!$B$8&lt;=A76),'月度總覽'!$B$9,0)+SUMIFS($E$5:E76,$A$5:A76,"&gt;"&amp;'月度總覽'!$B$7)-SUMIFS($G$5:G76,$A$5:A76,"&gt;"&amp;'月度總覽'!$B$7))</f>
        <v/>
      </c>
    </row>
    <row r="77" ht="15.75" customHeight="1">
      <c r="A77" s="39" t="str">
        <f>IF(73&lt;='月度總覽'!$F$5,'月度總覽'!$B$5+73-1,"")</f>
        <v/>
      </c>
      <c r="B77" t="str">
        <f t="shared" si="1"/>
        <v/>
      </c>
      <c r="C77" t="str">
        <f>IF(A77="","",IF(A77&lt;'月度總覽'!$F$6,"已過",IF(A77='月度總覽'!$F$6,"基準日","未來")))</f>
        <v/>
      </c>
      <c r="D77" s="40" t="str">
        <f>IF(A77="","",IF(A77='月度總覽'!$B$8,'月度總覽'!$B$9,0))</f>
        <v/>
      </c>
      <c r="E77" s="40" t="str">
        <f>IF(A77="","",SUMIFS('收支明細'!$E:$E,'收支明細'!$B:$B,"收入",'收支明細'!$A:$A,A77))</f>
        <v/>
      </c>
      <c r="F77" s="40" t="str">
        <f>IF(A77="","",SUMIFS('固定支出'!$C:$C,'固定支出'!$G:$G,"是",'固定支出'!$D:$D,A77))</f>
        <v/>
      </c>
      <c r="G77" s="40" t="str">
        <f>IF(A77="","",SUMIFS('收支明細'!$E:$E,'收支明細'!$B:$B,"支出",'收支明細'!$A:$A,A77))</f>
        <v/>
      </c>
      <c r="H77" s="40" t="str">
        <f>IF(OR(A77="",A77&lt;'月度總覽'!$F$6),0,'月度總覽'!$F$13)</f>
        <v>0.00</v>
      </c>
      <c r="I77" s="40" t="str">
        <f t="shared" si="2"/>
        <v/>
      </c>
      <c r="J77" s="40" t="str">
        <f>IF(OR(A77="",A77&lt;'月度總覽'!$F$6),"",'月度總覽'!$F$12-SUM($H$5:H77)+IF(AND('月度總覽'!$B$10="到帳日自動計入",'月度總覽'!$B$8&gt;'月度總覽'!$B$7,'月度總覽'!$B$8&lt;=A77),'月度總覽'!$B$9,0)+SUMIFS($E$5:E77,$A$5:A77,"&gt;"&amp;'月度總覽'!$B$7)-SUMIFS($G$5:G77,$A$5:A77,"&gt;"&amp;'月度總覽'!$B$7))</f>
        <v/>
      </c>
    </row>
    <row r="78" ht="15.75" customHeight="1">
      <c r="A78" s="39" t="str">
        <f>IF(74&lt;='月度總覽'!$F$5,'月度總覽'!$B$5+74-1,"")</f>
        <v/>
      </c>
      <c r="B78" t="str">
        <f t="shared" si="1"/>
        <v/>
      </c>
      <c r="C78" t="str">
        <f>IF(A78="","",IF(A78&lt;'月度總覽'!$F$6,"已過",IF(A78='月度總覽'!$F$6,"基準日","未來")))</f>
        <v/>
      </c>
      <c r="D78" s="40" t="str">
        <f>IF(A78="","",IF(A78='月度總覽'!$B$8,'月度總覽'!$B$9,0))</f>
        <v/>
      </c>
      <c r="E78" s="40" t="str">
        <f>IF(A78="","",SUMIFS('收支明細'!$E:$E,'收支明細'!$B:$B,"收入",'收支明細'!$A:$A,A78))</f>
        <v/>
      </c>
      <c r="F78" s="40" t="str">
        <f>IF(A78="","",SUMIFS('固定支出'!$C:$C,'固定支出'!$G:$G,"是",'固定支出'!$D:$D,A78))</f>
        <v/>
      </c>
      <c r="G78" s="40" t="str">
        <f>IF(A78="","",SUMIFS('收支明細'!$E:$E,'收支明細'!$B:$B,"支出",'收支明細'!$A:$A,A78))</f>
        <v/>
      </c>
      <c r="H78" s="40" t="str">
        <f>IF(OR(A78="",A78&lt;'月度總覽'!$F$6),0,'月度總覽'!$F$13)</f>
        <v>0.00</v>
      </c>
      <c r="I78" s="40" t="str">
        <f t="shared" si="2"/>
        <v/>
      </c>
      <c r="J78" s="40" t="str">
        <f>IF(OR(A78="",A78&lt;'月度總覽'!$F$6),"",'月度總覽'!$F$12-SUM($H$5:H78)+IF(AND('月度總覽'!$B$10="到帳日自動計入",'月度總覽'!$B$8&gt;'月度總覽'!$B$7,'月度總覽'!$B$8&lt;=A78),'月度總覽'!$B$9,0)+SUMIFS($E$5:E78,$A$5:A78,"&gt;"&amp;'月度總覽'!$B$7)-SUMIFS($G$5:G78,$A$5:A78,"&gt;"&amp;'月度總覽'!$B$7))</f>
        <v/>
      </c>
    </row>
    <row r="79" ht="15.75" customHeight="1">
      <c r="A79" s="39" t="str">
        <f>IF(75&lt;='月度總覽'!$F$5,'月度總覽'!$B$5+75-1,"")</f>
        <v/>
      </c>
      <c r="B79" t="str">
        <f t="shared" si="1"/>
        <v/>
      </c>
      <c r="C79" t="str">
        <f>IF(A79="","",IF(A79&lt;'月度總覽'!$F$6,"已過",IF(A79='月度總覽'!$F$6,"基準日","未來")))</f>
        <v/>
      </c>
      <c r="D79" s="40" t="str">
        <f>IF(A79="","",IF(A79='月度總覽'!$B$8,'月度總覽'!$B$9,0))</f>
        <v/>
      </c>
      <c r="E79" s="40" t="str">
        <f>IF(A79="","",SUMIFS('收支明細'!$E:$E,'收支明細'!$B:$B,"收入",'收支明細'!$A:$A,A79))</f>
        <v/>
      </c>
      <c r="F79" s="40" t="str">
        <f>IF(A79="","",SUMIFS('固定支出'!$C:$C,'固定支出'!$G:$G,"是",'固定支出'!$D:$D,A79))</f>
        <v/>
      </c>
      <c r="G79" s="40" t="str">
        <f>IF(A79="","",SUMIFS('收支明細'!$E:$E,'收支明細'!$B:$B,"支出",'收支明細'!$A:$A,A79))</f>
        <v/>
      </c>
      <c r="H79" s="40" t="str">
        <f>IF(OR(A79="",A79&lt;'月度總覽'!$F$6),0,'月度總覽'!$F$13)</f>
        <v>0.00</v>
      </c>
      <c r="I79" s="40" t="str">
        <f t="shared" si="2"/>
        <v/>
      </c>
      <c r="J79" s="40" t="str">
        <f>IF(OR(A79="",A79&lt;'月度總覽'!$F$6),"",'月度總覽'!$F$12-SUM($H$5:H79)+IF(AND('月度總覽'!$B$10="到帳日自動計入",'月度總覽'!$B$8&gt;'月度總覽'!$B$7,'月度總覽'!$B$8&lt;=A79),'月度總覽'!$B$9,0)+SUMIFS($E$5:E79,$A$5:A79,"&gt;"&amp;'月度總覽'!$B$7)-SUMIFS($G$5:G79,$A$5:A79,"&gt;"&amp;'月度總覽'!$B$7))</f>
        <v/>
      </c>
    </row>
    <row r="80" ht="15.75" customHeight="1">
      <c r="A80" s="39" t="str">
        <f>IF(76&lt;='月度總覽'!$F$5,'月度總覽'!$B$5+76-1,"")</f>
        <v/>
      </c>
      <c r="B80" t="str">
        <f t="shared" si="1"/>
        <v/>
      </c>
      <c r="C80" t="str">
        <f>IF(A80="","",IF(A80&lt;'月度總覽'!$F$6,"已過",IF(A80='月度總覽'!$F$6,"基準日","未來")))</f>
        <v/>
      </c>
      <c r="D80" s="40" t="str">
        <f>IF(A80="","",IF(A80='月度總覽'!$B$8,'月度總覽'!$B$9,0))</f>
        <v/>
      </c>
      <c r="E80" s="40" t="str">
        <f>IF(A80="","",SUMIFS('收支明細'!$E:$E,'收支明細'!$B:$B,"收入",'收支明細'!$A:$A,A80))</f>
        <v/>
      </c>
      <c r="F80" s="40" t="str">
        <f>IF(A80="","",SUMIFS('固定支出'!$C:$C,'固定支出'!$G:$G,"是",'固定支出'!$D:$D,A80))</f>
        <v/>
      </c>
      <c r="G80" s="40" t="str">
        <f>IF(A80="","",SUMIFS('收支明細'!$E:$E,'收支明細'!$B:$B,"支出",'收支明細'!$A:$A,A80))</f>
        <v/>
      </c>
      <c r="H80" s="40" t="str">
        <f>IF(OR(A80="",A80&lt;'月度總覽'!$F$6),0,'月度總覽'!$F$13)</f>
        <v>0.00</v>
      </c>
      <c r="I80" s="40" t="str">
        <f t="shared" si="2"/>
        <v/>
      </c>
      <c r="J80" s="40" t="str">
        <f>IF(OR(A80="",A80&lt;'月度總覽'!$F$6),"",'月度總覽'!$F$12-SUM($H$5:H80)+IF(AND('月度總覽'!$B$10="到帳日自動計入",'月度總覽'!$B$8&gt;'月度總覽'!$B$7,'月度總覽'!$B$8&lt;=A80),'月度總覽'!$B$9,0)+SUMIFS($E$5:E80,$A$5:A80,"&gt;"&amp;'月度總覽'!$B$7)-SUMIFS($G$5:G80,$A$5:A80,"&gt;"&amp;'月度總覽'!$B$7))</f>
        <v/>
      </c>
    </row>
    <row r="81" ht="15.75" customHeight="1">
      <c r="A81" s="39" t="str">
        <f>IF(77&lt;='月度總覽'!$F$5,'月度總覽'!$B$5+77-1,"")</f>
        <v/>
      </c>
      <c r="B81" t="str">
        <f t="shared" si="1"/>
        <v/>
      </c>
      <c r="C81" t="str">
        <f>IF(A81="","",IF(A81&lt;'月度總覽'!$F$6,"已過",IF(A81='月度總覽'!$F$6,"基準日","未來")))</f>
        <v/>
      </c>
      <c r="D81" s="40" t="str">
        <f>IF(A81="","",IF(A81='月度總覽'!$B$8,'月度總覽'!$B$9,0))</f>
        <v/>
      </c>
      <c r="E81" s="40" t="str">
        <f>IF(A81="","",SUMIFS('收支明細'!$E:$E,'收支明細'!$B:$B,"收入",'收支明細'!$A:$A,A81))</f>
        <v/>
      </c>
      <c r="F81" s="40" t="str">
        <f>IF(A81="","",SUMIFS('固定支出'!$C:$C,'固定支出'!$G:$G,"是",'固定支出'!$D:$D,A81))</f>
        <v/>
      </c>
      <c r="G81" s="40" t="str">
        <f>IF(A81="","",SUMIFS('收支明細'!$E:$E,'收支明細'!$B:$B,"支出",'收支明細'!$A:$A,A81))</f>
        <v/>
      </c>
      <c r="H81" s="40" t="str">
        <f>IF(OR(A81="",A81&lt;'月度總覽'!$F$6),0,'月度總覽'!$F$13)</f>
        <v>0.00</v>
      </c>
      <c r="I81" s="40" t="str">
        <f t="shared" si="2"/>
        <v/>
      </c>
      <c r="J81" s="40" t="str">
        <f>IF(OR(A81="",A81&lt;'月度總覽'!$F$6),"",'月度總覽'!$F$12-SUM($H$5:H81)+IF(AND('月度總覽'!$B$10="到帳日自動計入",'月度總覽'!$B$8&gt;'月度總覽'!$B$7,'月度總覽'!$B$8&lt;=A81),'月度總覽'!$B$9,0)+SUMIFS($E$5:E81,$A$5:A81,"&gt;"&amp;'月度總覽'!$B$7)-SUMIFS($G$5:G81,$A$5:A81,"&gt;"&amp;'月度總覽'!$B$7))</f>
        <v/>
      </c>
    </row>
    <row r="82" ht="15.75" customHeight="1">
      <c r="A82" s="39" t="str">
        <f>IF(78&lt;='月度總覽'!$F$5,'月度總覽'!$B$5+78-1,"")</f>
        <v/>
      </c>
      <c r="B82" t="str">
        <f t="shared" si="1"/>
        <v/>
      </c>
      <c r="C82" t="str">
        <f>IF(A82="","",IF(A82&lt;'月度總覽'!$F$6,"已過",IF(A82='月度總覽'!$F$6,"基準日","未來")))</f>
        <v/>
      </c>
      <c r="D82" s="40" t="str">
        <f>IF(A82="","",IF(A82='月度總覽'!$B$8,'月度總覽'!$B$9,0))</f>
        <v/>
      </c>
      <c r="E82" s="40" t="str">
        <f>IF(A82="","",SUMIFS('收支明細'!$E:$E,'收支明細'!$B:$B,"收入",'收支明細'!$A:$A,A82))</f>
        <v/>
      </c>
      <c r="F82" s="40" t="str">
        <f>IF(A82="","",SUMIFS('固定支出'!$C:$C,'固定支出'!$G:$G,"是",'固定支出'!$D:$D,A82))</f>
        <v/>
      </c>
      <c r="G82" s="40" t="str">
        <f>IF(A82="","",SUMIFS('收支明細'!$E:$E,'收支明細'!$B:$B,"支出",'收支明細'!$A:$A,A82))</f>
        <v/>
      </c>
      <c r="H82" s="40" t="str">
        <f>IF(OR(A82="",A82&lt;'月度總覽'!$F$6),0,'月度總覽'!$F$13)</f>
        <v>0.00</v>
      </c>
      <c r="I82" s="40" t="str">
        <f t="shared" si="2"/>
        <v/>
      </c>
      <c r="J82" s="40" t="str">
        <f>IF(OR(A82="",A82&lt;'月度總覽'!$F$6),"",'月度總覽'!$F$12-SUM($H$5:H82)+IF(AND('月度總覽'!$B$10="到帳日自動計入",'月度總覽'!$B$8&gt;'月度總覽'!$B$7,'月度總覽'!$B$8&lt;=A82),'月度總覽'!$B$9,0)+SUMIFS($E$5:E82,$A$5:A82,"&gt;"&amp;'月度總覽'!$B$7)-SUMIFS($G$5:G82,$A$5:A82,"&gt;"&amp;'月度總覽'!$B$7))</f>
        <v/>
      </c>
    </row>
    <row r="83" ht="15.75" customHeight="1">
      <c r="A83" s="39" t="str">
        <f>IF(79&lt;='月度總覽'!$F$5,'月度總覽'!$B$5+79-1,"")</f>
        <v/>
      </c>
      <c r="B83" t="str">
        <f t="shared" si="1"/>
        <v/>
      </c>
      <c r="C83" t="str">
        <f>IF(A83="","",IF(A83&lt;'月度總覽'!$F$6,"已過",IF(A83='月度總覽'!$F$6,"基準日","未來")))</f>
        <v/>
      </c>
      <c r="D83" s="40" t="str">
        <f>IF(A83="","",IF(A83='月度總覽'!$B$8,'月度總覽'!$B$9,0))</f>
        <v/>
      </c>
      <c r="E83" s="40" t="str">
        <f>IF(A83="","",SUMIFS('收支明細'!$E:$E,'收支明細'!$B:$B,"收入",'收支明細'!$A:$A,A83))</f>
        <v/>
      </c>
      <c r="F83" s="40" t="str">
        <f>IF(A83="","",SUMIFS('固定支出'!$C:$C,'固定支出'!$G:$G,"是",'固定支出'!$D:$D,A83))</f>
        <v/>
      </c>
      <c r="G83" s="40" t="str">
        <f>IF(A83="","",SUMIFS('收支明細'!$E:$E,'收支明細'!$B:$B,"支出",'收支明細'!$A:$A,A83))</f>
        <v/>
      </c>
      <c r="H83" s="40" t="str">
        <f>IF(OR(A83="",A83&lt;'月度總覽'!$F$6),0,'月度總覽'!$F$13)</f>
        <v>0.00</v>
      </c>
      <c r="I83" s="40" t="str">
        <f t="shared" si="2"/>
        <v/>
      </c>
      <c r="J83" s="40" t="str">
        <f>IF(OR(A83="",A83&lt;'月度總覽'!$F$6),"",'月度總覽'!$F$12-SUM($H$5:H83)+IF(AND('月度總覽'!$B$10="到帳日自動計入",'月度總覽'!$B$8&gt;'月度總覽'!$B$7,'月度總覽'!$B$8&lt;=A83),'月度總覽'!$B$9,0)+SUMIFS($E$5:E83,$A$5:A83,"&gt;"&amp;'月度總覽'!$B$7)-SUMIFS($G$5:G83,$A$5:A83,"&gt;"&amp;'月度總覽'!$B$7))</f>
        <v/>
      </c>
    </row>
    <row r="84" ht="15.75" customHeight="1">
      <c r="A84" s="39" t="str">
        <f>IF(80&lt;='月度總覽'!$F$5,'月度總覽'!$B$5+80-1,"")</f>
        <v/>
      </c>
      <c r="B84" t="str">
        <f t="shared" si="1"/>
        <v/>
      </c>
      <c r="C84" t="str">
        <f>IF(A84="","",IF(A84&lt;'月度總覽'!$F$6,"已過",IF(A84='月度總覽'!$F$6,"基準日","未來")))</f>
        <v/>
      </c>
      <c r="D84" s="40" t="str">
        <f>IF(A84="","",IF(A84='月度總覽'!$B$8,'月度總覽'!$B$9,0))</f>
        <v/>
      </c>
      <c r="E84" s="40" t="str">
        <f>IF(A84="","",SUMIFS('收支明細'!$E:$E,'收支明細'!$B:$B,"收入",'收支明細'!$A:$A,A84))</f>
        <v/>
      </c>
      <c r="F84" s="40" t="str">
        <f>IF(A84="","",SUMIFS('固定支出'!$C:$C,'固定支出'!$G:$G,"是",'固定支出'!$D:$D,A84))</f>
        <v/>
      </c>
      <c r="G84" s="40" t="str">
        <f>IF(A84="","",SUMIFS('收支明細'!$E:$E,'收支明細'!$B:$B,"支出",'收支明細'!$A:$A,A84))</f>
        <v/>
      </c>
      <c r="H84" s="40" t="str">
        <f>IF(OR(A84="",A84&lt;'月度總覽'!$F$6),0,'月度總覽'!$F$13)</f>
        <v>0.00</v>
      </c>
      <c r="I84" s="40" t="str">
        <f t="shared" si="2"/>
        <v/>
      </c>
      <c r="J84" s="40" t="str">
        <f>IF(OR(A84="",A84&lt;'月度總覽'!$F$6),"",'月度總覽'!$F$12-SUM($H$5:H84)+IF(AND('月度總覽'!$B$10="到帳日自動計入",'月度總覽'!$B$8&gt;'月度總覽'!$B$7,'月度總覽'!$B$8&lt;=A84),'月度總覽'!$B$9,0)+SUMIFS($E$5:E84,$A$5:A84,"&gt;"&amp;'月度總覽'!$B$7)-SUMIFS($G$5:G84,$A$5:A84,"&gt;"&amp;'月度總覽'!$B$7))</f>
        <v/>
      </c>
    </row>
    <row r="85" ht="15.75" customHeight="1">
      <c r="A85" s="39" t="str">
        <f>IF(81&lt;='月度總覽'!$F$5,'月度總覽'!$B$5+81-1,"")</f>
        <v/>
      </c>
      <c r="B85" t="str">
        <f t="shared" si="1"/>
        <v/>
      </c>
      <c r="C85" t="str">
        <f>IF(A85="","",IF(A85&lt;'月度總覽'!$F$6,"已過",IF(A85='月度總覽'!$F$6,"基準日","未來")))</f>
        <v/>
      </c>
      <c r="D85" s="40" t="str">
        <f>IF(A85="","",IF(A85='月度總覽'!$B$8,'月度總覽'!$B$9,0))</f>
        <v/>
      </c>
      <c r="E85" s="40" t="str">
        <f>IF(A85="","",SUMIFS('收支明細'!$E:$E,'收支明細'!$B:$B,"收入",'收支明細'!$A:$A,A85))</f>
        <v/>
      </c>
      <c r="F85" s="40" t="str">
        <f>IF(A85="","",SUMIFS('固定支出'!$C:$C,'固定支出'!$G:$G,"是",'固定支出'!$D:$D,A85))</f>
        <v/>
      </c>
      <c r="G85" s="40" t="str">
        <f>IF(A85="","",SUMIFS('收支明細'!$E:$E,'收支明細'!$B:$B,"支出",'收支明細'!$A:$A,A85))</f>
        <v/>
      </c>
      <c r="H85" s="40" t="str">
        <f>IF(OR(A85="",A85&lt;'月度總覽'!$F$6),0,'月度總覽'!$F$13)</f>
        <v>0.00</v>
      </c>
      <c r="I85" s="40" t="str">
        <f t="shared" si="2"/>
        <v/>
      </c>
      <c r="J85" s="40" t="str">
        <f>IF(OR(A85="",A85&lt;'月度總覽'!$F$6),"",'月度總覽'!$F$12-SUM($H$5:H85)+IF(AND('月度總覽'!$B$10="到帳日自動計入",'月度總覽'!$B$8&gt;'月度總覽'!$B$7,'月度總覽'!$B$8&lt;=A85),'月度總覽'!$B$9,0)+SUMIFS($E$5:E85,$A$5:A85,"&gt;"&amp;'月度總覽'!$B$7)-SUMIFS($G$5:G85,$A$5:A85,"&gt;"&amp;'月度總覽'!$B$7))</f>
        <v/>
      </c>
    </row>
    <row r="86" ht="15.75" customHeight="1">
      <c r="A86" s="39" t="str">
        <f>IF(82&lt;='月度總覽'!$F$5,'月度總覽'!$B$5+82-1,"")</f>
        <v/>
      </c>
      <c r="B86" t="str">
        <f t="shared" si="1"/>
        <v/>
      </c>
      <c r="C86" t="str">
        <f>IF(A86="","",IF(A86&lt;'月度總覽'!$F$6,"已過",IF(A86='月度總覽'!$F$6,"基準日","未來")))</f>
        <v/>
      </c>
      <c r="D86" s="40" t="str">
        <f>IF(A86="","",IF(A86='月度總覽'!$B$8,'月度總覽'!$B$9,0))</f>
        <v/>
      </c>
      <c r="E86" s="40" t="str">
        <f>IF(A86="","",SUMIFS('收支明細'!$E:$E,'收支明細'!$B:$B,"收入",'收支明細'!$A:$A,A86))</f>
        <v/>
      </c>
      <c r="F86" s="40" t="str">
        <f>IF(A86="","",SUMIFS('固定支出'!$C:$C,'固定支出'!$G:$G,"是",'固定支出'!$D:$D,A86))</f>
        <v/>
      </c>
      <c r="G86" s="40" t="str">
        <f>IF(A86="","",SUMIFS('收支明細'!$E:$E,'收支明細'!$B:$B,"支出",'收支明細'!$A:$A,A86))</f>
        <v/>
      </c>
      <c r="H86" s="40" t="str">
        <f>IF(OR(A86="",A86&lt;'月度總覽'!$F$6),0,'月度總覽'!$F$13)</f>
        <v>0.00</v>
      </c>
      <c r="I86" s="40" t="str">
        <f t="shared" si="2"/>
        <v/>
      </c>
      <c r="J86" s="40" t="str">
        <f>IF(OR(A86="",A86&lt;'月度總覽'!$F$6),"",'月度總覽'!$F$12-SUM($H$5:H86)+IF(AND('月度總覽'!$B$10="到帳日自動計入",'月度總覽'!$B$8&gt;'月度總覽'!$B$7,'月度總覽'!$B$8&lt;=A86),'月度總覽'!$B$9,0)+SUMIFS($E$5:E86,$A$5:A86,"&gt;"&amp;'月度總覽'!$B$7)-SUMIFS($G$5:G86,$A$5:A86,"&gt;"&amp;'月度總覽'!$B$7))</f>
        <v/>
      </c>
    </row>
    <row r="87" ht="15.75" customHeight="1">
      <c r="A87" s="39" t="str">
        <f>IF(83&lt;='月度總覽'!$F$5,'月度總覽'!$B$5+83-1,"")</f>
        <v/>
      </c>
      <c r="B87" t="str">
        <f t="shared" si="1"/>
        <v/>
      </c>
      <c r="C87" t="str">
        <f>IF(A87="","",IF(A87&lt;'月度總覽'!$F$6,"已過",IF(A87='月度總覽'!$F$6,"基準日","未來")))</f>
        <v/>
      </c>
      <c r="D87" s="40" t="str">
        <f>IF(A87="","",IF(A87='月度總覽'!$B$8,'月度總覽'!$B$9,0))</f>
        <v/>
      </c>
      <c r="E87" s="40" t="str">
        <f>IF(A87="","",SUMIFS('收支明細'!$E:$E,'收支明細'!$B:$B,"收入",'收支明細'!$A:$A,A87))</f>
        <v/>
      </c>
      <c r="F87" s="40" t="str">
        <f>IF(A87="","",SUMIFS('固定支出'!$C:$C,'固定支出'!$G:$G,"是",'固定支出'!$D:$D,A87))</f>
        <v/>
      </c>
      <c r="G87" s="40" t="str">
        <f>IF(A87="","",SUMIFS('收支明細'!$E:$E,'收支明細'!$B:$B,"支出",'收支明細'!$A:$A,A87))</f>
        <v/>
      </c>
      <c r="H87" s="40" t="str">
        <f>IF(OR(A87="",A87&lt;'月度總覽'!$F$6),0,'月度總覽'!$F$13)</f>
        <v>0.00</v>
      </c>
      <c r="I87" s="40" t="str">
        <f t="shared" si="2"/>
        <v/>
      </c>
      <c r="J87" s="40" t="str">
        <f>IF(OR(A87="",A87&lt;'月度總覽'!$F$6),"",'月度總覽'!$F$12-SUM($H$5:H87)+IF(AND('月度總覽'!$B$10="到帳日自動計入",'月度總覽'!$B$8&gt;'月度總覽'!$B$7,'月度總覽'!$B$8&lt;=A87),'月度總覽'!$B$9,0)+SUMIFS($E$5:E87,$A$5:A87,"&gt;"&amp;'月度總覽'!$B$7)-SUMIFS($G$5:G87,$A$5:A87,"&gt;"&amp;'月度總覽'!$B$7))</f>
        <v/>
      </c>
    </row>
    <row r="88" ht="15.75" customHeight="1">
      <c r="A88" s="39" t="str">
        <f>IF(84&lt;='月度總覽'!$F$5,'月度總覽'!$B$5+84-1,"")</f>
        <v/>
      </c>
      <c r="B88" t="str">
        <f t="shared" si="1"/>
        <v/>
      </c>
      <c r="C88" t="str">
        <f>IF(A88="","",IF(A88&lt;'月度總覽'!$F$6,"已過",IF(A88='月度總覽'!$F$6,"基準日","未來")))</f>
        <v/>
      </c>
      <c r="D88" s="40" t="str">
        <f>IF(A88="","",IF(A88='月度總覽'!$B$8,'月度總覽'!$B$9,0))</f>
        <v/>
      </c>
      <c r="E88" s="40" t="str">
        <f>IF(A88="","",SUMIFS('收支明細'!$E:$E,'收支明細'!$B:$B,"收入",'收支明細'!$A:$A,A88))</f>
        <v/>
      </c>
      <c r="F88" s="40" t="str">
        <f>IF(A88="","",SUMIFS('固定支出'!$C:$C,'固定支出'!$G:$G,"是",'固定支出'!$D:$D,A88))</f>
        <v/>
      </c>
      <c r="G88" s="40" t="str">
        <f>IF(A88="","",SUMIFS('收支明細'!$E:$E,'收支明細'!$B:$B,"支出",'收支明細'!$A:$A,A88))</f>
        <v/>
      </c>
      <c r="H88" s="40" t="str">
        <f>IF(OR(A88="",A88&lt;'月度總覽'!$F$6),0,'月度總覽'!$F$13)</f>
        <v>0.00</v>
      </c>
      <c r="I88" s="40" t="str">
        <f t="shared" si="2"/>
        <v/>
      </c>
      <c r="J88" s="40" t="str">
        <f>IF(OR(A88="",A88&lt;'月度總覽'!$F$6),"",'月度總覽'!$F$12-SUM($H$5:H88)+IF(AND('月度總覽'!$B$10="到帳日自動計入",'月度總覽'!$B$8&gt;'月度總覽'!$B$7,'月度總覽'!$B$8&lt;=A88),'月度總覽'!$B$9,0)+SUMIFS($E$5:E88,$A$5:A88,"&gt;"&amp;'月度總覽'!$B$7)-SUMIFS($G$5:G88,$A$5:A88,"&gt;"&amp;'月度總覽'!$B$7))</f>
        <v/>
      </c>
    </row>
    <row r="89" ht="15.75" customHeight="1">
      <c r="A89" s="39" t="str">
        <f>IF(85&lt;='月度總覽'!$F$5,'月度總覽'!$B$5+85-1,"")</f>
        <v/>
      </c>
      <c r="B89" t="str">
        <f t="shared" si="1"/>
        <v/>
      </c>
      <c r="C89" t="str">
        <f>IF(A89="","",IF(A89&lt;'月度總覽'!$F$6,"已過",IF(A89='月度總覽'!$F$6,"基準日","未來")))</f>
        <v/>
      </c>
      <c r="D89" s="40" t="str">
        <f>IF(A89="","",IF(A89='月度總覽'!$B$8,'月度總覽'!$B$9,0))</f>
        <v/>
      </c>
      <c r="E89" s="40" t="str">
        <f>IF(A89="","",SUMIFS('收支明細'!$E:$E,'收支明細'!$B:$B,"收入",'收支明細'!$A:$A,A89))</f>
        <v/>
      </c>
      <c r="F89" s="40" t="str">
        <f>IF(A89="","",SUMIFS('固定支出'!$C:$C,'固定支出'!$G:$G,"是",'固定支出'!$D:$D,A89))</f>
        <v/>
      </c>
      <c r="G89" s="40" t="str">
        <f>IF(A89="","",SUMIFS('收支明細'!$E:$E,'收支明細'!$B:$B,"支出",'收支明細'!$A:$A,A89))</f>
        <v/>
      </c>
      <c r="H89" s="40" t="str">
        <f>IF(OR(A89="",A89&lt;'月度總覽'!$F$6),0,'月度總覽'!$F$13)</f>
        <v>0.00</v>
      </c>
      <c r="I89" s="40" t="str">
        <f t="shared" si="2"/>
        <v/>
      </c>
      <c r="J89" s="40" t="str">
        <f>IF(OR(A89="",A89&lt;'月度總覽'!$F$6),"",'月度總覽'!$F$12-SUM($H$5:H89)+IF(AND('月度總覽'!$B$10="到帳日自動計入",'月度總覽'!$B$8&gt;'月度總覽'!$B$7,'月度總覽'!$B$8&lt;=A89),'月度總覽'!$B$9,0)+SUMIFS($E$5:E89,$A$5:A89,"&gt;"&amp;'月度總覽'!$B$7)-SUMIFS($G$5:G89,$A$5:A89,"&gt;"&amp;'月度總覽'!$B$7))</f>
        <v/>
      </c>
    </row>
    <row r="90" ht="15.75" customHeight="1">
      <c r="A90" s="39" t="str">
        <f>IF(86&lt;='月度總覽'!$F$5,'月度總覽'!$B$5+86-1,"")</f>
        <v/>
      </c>
      <c r="B90" t="str">
        <f t="shared" si="1"/>
        <v/>
      </c>
      <c r="C90" t="str">
        <f>IF(A90="","",IF(A90&lt;'月度總覽'!$F$6,"已過",IF(A90='月度總覽'!$F$6,"基準日","未來")))</f>
        <v/>
      </c>
      <c r="D90" s="40" t="str">
        <f>IF(A90="","",IF(A90='月度總覽'!$B$8,'月度總覽'!$B$9,0))</f>
        <v/>
      </c>
      <c r="E90" s="40" t="str">
        <f>IF(A90="","",SUMIFS('收支明細'!$E:$E,'收支明細'!$B:$B,"收入",'收支明細'!$A:$A,A90))</f>
        <v/>
      </c>
      <c r="F90" s="40" t="str">
        <f>IF(A90="","",SUMIFS('固定支出'!$C:$C,'固定支出'!$G:$G,"是",'固定支出'!$D:$D,A90))</f>
        <v/>
      </c>
      <c r="G90" s="40" t="str">
        <f>IF(A90="","",SUMIFS('收支明細'!$E:$E,'收支明細'!$B:$B,"支出",'收支明細'!$A:$A,A90))</f>
        <v/>
      </c>
      <c r="H90" s="40" t="str">
        <f>IF(OR(A90="",A90&lt;'月度總覽'!$F$6),0,'月度總覽'!$F$13)</f>
        <v>0.00</v>
      </c>
      <c r="I90" s="40" t="str">
        <f t="shared" si="2"/>
        <v/>
      </c>
      <c r="J90" s="40" t="str">
        <f>IF(OR(A90="",A90&lt;'月度總覽'!$F$6),"",'月度總覽'!$F$12-SUM($H$5:H90)+IF(AND('月度總覽'!$B$10="到帳日自動計入",'月度總覽'!$B$8&gt;'月度總覽'!$B$7,'月度總覽'!$B$8&lt;=A90),'月度總覽'!$B$9,0)+SUMIFS($E$5:E90,$A$5:A90,"&gt;"&amp;'月度總覽'!$B$7)-SUMIFS($G$5:G90,$A$5:A90,"&gt;"&amp;'月度總覽'!$B$7))</f>
        <v/>
      </c>
    </row>
    <row r="91" ht="15.75" customHeight="1">
      <c r="A91" s="39" t="str">
        <f>IF(87&lt;='月度總覽'!$F$5,'月度總覽'!$B$5+87-1,"")</f>
        <v/>
      </c>
      <c r="B91" t="str">
        <f t="shared" si="1"/>
        <v/>
      </c>
      <c r="C91" t="str">
        <f>IF(A91="","",IF(A91&lt;'月度總覽'!$F$6,"已過",IF(A91='月度總覽'!$F$6,"基準日","未來")))</f>
        <v/>
      </c>
      <c r="D91" s="40" t="str">
        <f>IF(A91="","",IF(A91='月度總覽'!$B$8,'月度總覽'!$B$9,0))</f>
        <v/>
      </c>
      <c r="E91" s="40" t="str">
        <f>IF(A91="","",SUMIFS('收支明細'!$E:$E,'收支明細'!$B:$B,"收入",'收支明細'!$A:$A,A91))</f>
        <v/>
      </c>
      <c r="F91" s="40" t="str">
        <f>IF(A91="","",SUMIFS('固定支出'!$C:$C,'固定支出'!$G:$G,"是",'固定支出'!$D:$D,A91))</f>
        <v/>
      </c>
      <c r="G91" s="40" t="str">
        <f>IF(A91="","",SUMIFS('收支明細'!$E:$E,'收支明細'!$B:$B,"支出",'收支明細'!$A:$A,A91))</f>
        <v/>
      </c>
      <c r="H91" s="40" t="str">
        <f>IF(OR(A91="",A91&lt;'月度總覽'!$F$6),0,'月度總覽'!$F$13)</f>
        <v>0.00</v>
      </c>
      <c r="I91" s="40" t="str">
        <f t="shared" si="2"/>
        <v/>
      </c>
      <c r="J91" s="40" t="str">
        <f>IF(OR(A91="",A91&lt;'月度總覽'!$F$6),"",'月度總覽'!$F$12-SUM($H$5:H91)+IF(AND('月度總覽'!$B$10="到帳日自動計入",'月度總覽'!$B$8&gt;'月度總覽'!$B$7,'月度總覽'!$B$8&lt;=A91),'月度總覽'!$B$9,0)+SUMIFS($E$5:E91,$A$5:A91,"&gt;"&amp;'月度總覽'!$B$7)-SUMIFS($G$5:G91,$A$5:A91,"&gt;"&amp;'月度總覽'!$B$7))</f>
        <v/>
      </c>
    </row>
    <row r="92" ht="15.75" customHeight="1">
      <c r="A92" s="39" t="str">
        <f>IF(88&lt;='月度總覽'!$F$5,'月度總覽'!$B$5+88-1,"")</f>
        <v/>
      </c>
      <c r="B92" t="str">
        <f t="shared" si="1"/>
        <v/>
      </c>
      <c r="C92" t="str">
        <f>IF(A92="","",IF(A92&lt;'月度總覽'!$F$6,"已過",IF(A92='月度總覽'!$F$6,"基準日","未來")))</f>
        <v/>
      </c>
      <c r="D92" s="40" t="str">
        <f>IF(A92="","",IF(A92='月度總覽'!$B$8,'月度總覽'!$B$9,0))</f>
        <v/>
      </c>
      <c r="E92" s="40" t="str">
        <f>IF(A92="","",SUMIFS('收支明細'!$E:$E,'收支明細'!$B:$B,"收入",'收支明細'!$A:$A,A92))</f>
        <v/>
      </c>
      <c r="F92" s="40" t="str">
        <f>IF(A92="","",SUMIFS('固定支出'!$C:$C,'固定支出'!$G:$G,"是",'固定支出'!$D:$D,A92))</f>
        <v/>
      </c>
      <c r="G92" s="40" t="str">
        <f>IF(A92="","",SUMIFS('收支明細'!$E:$E,'收支明細'!$B:$B,"支出",'收支明細'!$A:$A,A92))</f>
        <v/>
      </c>
      <c r="H92" s="40" t="str">
        <f>IF(OR(A92="",A92&lt;'月度總覽'!$F$6),0,'月度總覽'!$F$13)</f>
        <v>0.00</v>
      </c>
      <c r="I92" s="40" t="str">
        <f t="shared" si="2"/>
        <v/>
      </c>
      <c r="J92" s="40" t="str">
        <f>IF(OR(A92="",A92&lt;'月度總覽'!$F$6),"",'月度總覽'!$F$12-SUM($H$5:H92)+IF(AND('月度總覽'!$B$10="到帳日自動計入",'月度總覽'!$B$8&gt;'月度總覽'!$B$7,'月度總覽'!$B$8&lt;=A92),'月度總覽'!$B$9,0)+SUMIFS($E$5:E92,$A$5:A92,"&gt;"&amp;'月度總覽'!$B$7)-SUMIFS($G$5:G92,$A$5:A92,"&gt;"&amp;'月度總覽'!$B$7))</f>
        <v/>
      </c>
    </row>
    <row r="93" ht="15.75" customHeight="1">
      <c r="A93" s="39" t="str">
        <f>IF(89&lt;='月度總覽'!$F$5,'月度總覽'!$B$5+89-1,"")</f>
        <v/>
      </c>
      <c r="B93" t="str">
        <f t="shared" si="1"/>
        <v/>
      </c>
      <c r="C93" t="str">
        <f>IF(A93="","",IF(A93&lt;'月度總覽'!$F$6,"已過",IF(A93='月度總覽'!$F$6,"基準日","未來")))</f>
        <v/>
      </c>
      <c r="D93" s="40" t="str">
        <f>IF(A93="","",IF(A93='月度總覽'!$B$8,'月度總覽'!$B$9,0))</f>
        <v/>
      </c>
      <c r="E93" s="40" t="str">
        <f>IF(A93="","",SUMIFS('收支明細'!$E:$E,'收支明細'!$B:$B,"收入",'收支明細'!$A:$A,A93))</f>
        <v/>
      </c>
      <c r="F93" s="40" t="str">
        <f>IF(A93="","",SUMIFS('固定支出'!$C:$C,'固定支出'!$G:$G,"是",'固定支出'!$D:$D,A93))</f>
        <v/>
      </c>
      <c r="G93" s="40" t="str">
        <f>IF(A93="","",SUMIFS('收支明細'!$E:$E,'收支明細'!$B:$B,"支出",'收支明細'!$A:$A,A93))</f>
        <v/>
      </c>
      <c r="H93" s="40" t="str">
        <f>IF(OR(A93="",A93&lt;'月度總覽'!$F$6),0,'月度總覽'!$F$13)</f>
        <v>0.00</v>
      </c>
      <c r="I93" s="40" t="str">
        <f t="shared" si="2"/>
        <v/>
      </c>
      <c r="J93" s="40" t="str">
        <f>IF(OR(A93="",A93&lt;'月度總覽'!$F$6),"",'月度總覽'!$F$12-SUM($H$5:H93)+IF(AND('月度總覽'!$B$10="到帳日自動計入",'月度總覽'!$B$8&gt;'月度總覽'!$B$7,'月度總覽'!$B$8&lt;=A93),'月度總覽'!$B$9,0)+SUMIFS($E$5:E93,$A$5:A93,"&gt;"&amp;'月度總覽'!$B$7)-SUMIFS($G$5:G93,$A$5:A93,"&gt;"&amp;'月度總覽'!$B$7))</f>
        <v/>
      </c>
    </row>
    <row r="94" ht="15.75" customHeight="1">
      <c r="A94" s="39" t="str">
        <f>IF(90&lt;='月度總覽'!$F$5,'月度總覽'!$B$5+90-1,"")</f>
        <v/>
      </c>
      <c r="B94" t="str">
        <f t="shared" si="1"/>
        <v/>
      </c>
      <c r="C94" t="str">
        <f>IF(A94="","",IF(A94&lt;'月度總覽'!$F$6,"已過",IF(A94='月度總覽'!$F$6,"基準日","未來")))</f>
        <v/>
      </c>
      <c r="D94" s="40" t="str">
        <f>IF(A94="","",IF(A94='月度總覽'!$B$8,'月度總覽'!$B$9,0))</f>
        <v/>
      </c>
      <c r="E94" s="40" t="str">
        <f>IF(A94="","",SUMIFS('收支明細'!$E:$E,'收支明細'!$B:$B,"收入",'收支明細'!$A:$A,A94))</f>
        <v/>
      </c>
      <c r="F94" s="40" t="str">
        <f>IF(A94="","",SUMIFS('固定支出'!$C:$C,'固定支出'!$G:$G,"是",'固定支出'!$D:$D,A94))</f>
        <v/>
      </c>
      <c r="G94" s="40" t="str">
        <f>IF(A94="","",SUMIFS('收支明細'!$E:$E,'收支明細'!$B:$B,"支出",'收支明細'!$A:$A,A94))</f>
        <v/>
      </c>
      <c r="H94" s="40" t="str">
        <f>IF(OR(A94="",A94&lt;'月度總覽'!$F$6),0,'月度總覽'!$F$13)</f>
        <v>0.00</v>
      </c>
      <c r="I94" s="40" t="str">
        <f t="shared" si="2"/>
        <v/>
      </c>
      <c r="J94" s="40" t="str">
        <f>IF(OR(A94="",A94&lt;'月度總覽'!$F$6),"",'月度總覽'!$F$12-SUM($H$5:H94)+IF(AND('月度總覽'!$B$10="到帳日自動計入",'月度總覽'!$B$8&gt;'月度總覽'!$B$7,'月度總覽'!$B$8&lt;=A94),'月度總覽'!$B$9,0)+SUMIFS($E$5:E94,$A$5:A94,"&gt;"&amp;'月度總覽'!$B$7)-SUMIFS($G$5:G94,$A$5:A94,"&gt;"&amp;'月度總覽'!$B$7))</f>
        <v/>
      </c>
    </row>
    <row r="95" ht="15.75" customHeight="1">
      <c r="A95" s="39" t="str">
        <f>IF(91&lt;='月度總覽'!$F$5,'月度總覽'!$B$5+91-1,"")</f>
        <v/>
      </c>
      <c r="B95" t="str">
        <f t="shared" si="1"/>
        <v/>
      </c>
      <c r="C95" t="str">
        <f>IF(A95="","",IF(A95&lt;'月度總覽'!$F$6,"已過",IF(A95='月度總覽'!$F$6,"基準日","未來")))</f>
        <v/>
      </c>
      <c r="D95" s="40" t="str">
        <f>IF(A95="","",IF(A95='月度總覽'!$B$8,'月度總覽'!$B$9,0))</f>
        <v/>
      </c>
      <c r="E95" s="40" t="str">
        <f>IF(A95="","",SUMIFS('收支明細'!$E:$E,'收支明細'!$B:$B,"收入",'收支明細'!$A:$A,A95))</f>
        <v/>
      </c>
      <c r="F95" s="40" t="str">
        <f>IF(A95="","",SUMIFS('固定支出'!$C:$C,'固定支出'!$G:$G,"是",'固定支出'!$D:$D,A95))</f>
        <v/>
      </c>
      <c r="G95" s="40" t="str">
        <f>IF(A95="","",SUMIFS('收支明細'!$E:$E,'收支明細'!$B:$B,"支出",'收支明細'!$A:$A,A95))</f>
        <v/>
      </c>
      <c r="H95" s="40" t="str">
        <f>IF(OR(A95="",A95&lt;'月度總覽'!$F$6),0,'月度總覽'!$F$13)</f>
        <v>0.00</v>
      </c>
      <c r="I95" s="40" t="str">
        <f t="shared" si="2"/>
        <v/>
      </c>
      <c r="J95" s="40" t="str">
        <f>IF(OR(A95="",A95&lt;'月度總覽'!$F$6),"",'月度總覽'!$F$12-SUM($H$5:H95)+IF(AND('月度總覽'!$B$10="到帳日自動計入",'月度總覽'!$B$8&gt;'月度總覽'!$B$7,'月度總覽'!$B$8&lt;=A95),'月度總覽'!$B$9,0)+SUMIFS($E$5:E95,$A$5:A95,"&gt;"&amp;'月度總覽'!$B$7)-SUMIFS($G$5:G95,$A$5:A95,"&gt;"&amp;'月度總覽'!$B$7))</f>
        <v/>
      </c>
    </row>
    <row r="96" ht="15.75" customHeight="1">
      <c r="A96" s="39" t="str">
        <f>IF(92&lt;='月度總覽'!$F$5,'月度總覽'!$B$5+92-1,"")</f>
        <v/>
      </c>
      <c r="B96" t="str">
        <f t="shared" si="1"/>
        <v/>
      </c>
      <c r="C96" t="str">
        <f>IF(A96="","",IF(A96&lt;'月度總覽'!$F$6,"已過",IF(A96='月度總覽'!$F$6,"基準日","未來")))</f>
        <v/>
      </c>
      <c r="D96" s="40" t="str">
        <f>IF(A96="","",IF(A96='月度總覽'!$B$8,'月度總覽'!$B$9,0))</f>
        <v/>
      </c>
      <c r="E96" s="40" t="str">
        <f>IF(A96="","",SUMIFS('收支明細'!$E:$E,'收支明細'!$B:$B,"收入",'收支明細'!$A:$A,A96))</f>
        <v/>
      </c>
      <c r="F96" s="40" t="str">
        <f>IF(A96="","",SUMIFS('固定支出'!$C:$C,'固定支出'!$G:$G,"是",'固定支出'!$D:$D,A96))</f>
        <v/>
      </c>
      <c r="G96" s="40" t="str">
        <f>IF(A96="","",SUMIFS('收支明細'!$E:$E,'收支明細'!$B:$B,"支出",'收支明細'!$A:$A,A96))</f>
        <v/>
      </c>
      <c r="H96" s="40" t="str">
        <f>IF(OR(A96="",A96&lt;'月度總覽'!$F$6),0,'月度總覽'!$F$13)</f>
        <v>0.00</v>
      </c>
      <c r="I96" s="40" t="str">
        <f t="shared" si="2"/>
        <v/>
      </c>
      <c r="J96" s="40" t="str">
        <f>IF(OR(A96="",A96&lt;'月度總覽'!$F$6),"",'月度總覽'!$F$12-SUM($H$5:H96)+IF(AND('月度總覽'!$B$10="到帳日自動計入",'月度總覽'!$B$8&gt;'月度總覽'!$B$7,'月度總覽'!$B$8&lt;=A96),'月度總覽'!$B$9,0)+SUMIFS($E$5:E96,$A$5:A96,"&gt;"&amp;'月度總覽'!$B$7)-SUMIFS($G$5:G96,$A$5:A96,"&gt;"&amp;'月度總覽'!$B$7))</f>
        <v/>
      </c>
    </row>
    <row r="97" ht="15.75" customHeight="1">
      <c r="A97" s="39" t="str">
        <f>IF(93&lt;='月度總覽'!$F$5,'月度總覽'!$B$5+93-1,"")</f>
        <v/>
      </c>
      <c r="B97" t="str">
        <f t="shared" si="1"/>
        <v/>
      </c>
      <c r="C97" t="str">
        <f>IF(A97="","",IF(A97&lt;'月度總覽'!$F$6,"已過",IF(A97='月度總覽'!$F$6,"基準日","未來")))</f>
        <v/>
      </c>
      <c r="D97" s="40" t="str">
        <f>IF(A97="","",IF(A97='月度總覽'!$B$8,'月度總覽'!$B$9,0))</f>
        <v/>
      </c>
      <c r="E97" s="40" t="str">
        <f>IF(A97="","",SUMIFS('收支明細'!$E:$E,'收支明細'!$B:$B,"收入",'收支明細'!$A:$A,A97))</f>
        <v/>
      </c>
      <c r="F97" s="40" t="str">
        <f>IF(A97="","",SUMIFS('固定支出'!$C:$C,'固定支出'!$G:$G,"是",'固定支出'!$D:$D,A97))</f>
        <v/>
      </c>
      <c r="G97" s="40" t="str">
        <f>IF(A97="","",SUMIFS('收支明細'!$E:$E,'收支明細'!$B:$B,"支出",'收支明細'!$A:$A,A97))</f>
        <v/>
      </c>
      <c r="H97" s="40" t="str">
        <f>IF(OR(A97="",A97&lt;'月度總覽'!$F$6),0,'月度總覽'!$F$13)</f>
        <v>0.00</v>
      </c>
      <c r="I97" s="40" t="str">
        <f t="shared" si="2"/>
        <v/>
      </c>
      <c r="J97" s="40" t="str">
        <f>IF(OR(A97="",A97&lt;'月度總覽'!$F$6),"",'月度總覽'!$F$12-SUM($H$5:H97)+IF(AND('月度總覽'!$B$10="到帳日自動計入",'月度總覽'!$B$8&gt;'月度總覽'!$B$7,'月度總覽'!$B$8&lt;=A97),'月度總覽'!$B$9,0)+SUMIFS($E$5:E97,$A$5:A97,"&gt;"&amp;'月度總覽'!$B$7)-SUMIFS($G$5:G97,$A$5:A97,"&gt;"&amp;'月度總覽'!$B$7))</f>
        <v/>
      </c>
    </row>
    <row r="98" ht="15.75" customHeight="1">
      <c r="A98" s="39" t="str">
        <f>IF(94&lt;='月度總覽'!$F$5,'月度總覽'!$B$5+94-1,"")</f>
        <v/>
      </c>
      <c r="B98" t="str">
        <f t="shared" si="1"/>
        <v/>
      </c>
      <c r="C98" t="str">
        <f>IF(A98="","",IF(A98&lt;'月度總覽'!$F$6,"已過",IF(A98='月度總覽'!$F$6,"基準日","未來")))</f>
        <v/>
      </c>
      <c r="D98" s="40" t="str">
        <f>IF(A98="","",IF(A98='月度總覽'!$B$8,'月度總覽'!$B$9,0))</f>
        <v/>
      </c>
      <c r="E98" s="40" t="str">
        <f>IF(A98="","",SUMIFS('收支明細'!$E:$E,'收支明細'!$B:$B,"收入",'收支明細'!$A:$A,A98))</f>
        <v/>
      </c>
      <c r="F98" s="40" t="str">
        <f>IF(A98="","",SUMIFS('固定支出'!$C:$C,'固定支出'!$G:$G,"是",'固定支出'!$D:$D,A98))</f>
        <v/>
      </c>
      <c r="G98" s="40" t="str">
        <f>IF(A98="","",SUMIFS('收支明細'!$E:$E,'收支明細'!$B:$B,"支出",'收支明細'!$A:$A,A98))</f>
        <v/>
      </c>
      <c r="H98" s="40" t="str">
        <f>IF(OR(A98="",A98&lt;'月度總覽'!$F$6),0,'月度總覽'!$F$13)</f>
        <v>0.00</v>
      </c>
      <c r="I98" s="40" t="str">
        <f t="shared" si="2"/>
        <v/>
      </c>
      <c r="J98" s="40" t="str">
        <f>IF(OR(A98="",A98&lt;'月度總覽'!$F$6),"",'月度總覽'!$F$12-SUM($H$5:H98)+IF(AND('月度總覽'!$B$10="到帳日自動計入",'月度總覽'!$B$8&gt;'月度總覽'!$B$7,'月度總覽'!$B$8&lt;=A98),'月度總覽'!$B$9,0)+SUMIFS($E$5:E98,$A$5:A98,"&gt;"&amp;'月度總覽'!$B$7)-SUMIFS($G$5:G98,$A$5:A98,"&gt;"&amp;'月度總覽'!$B$7))</f>
        <v/>
      </c>
    </row>
    <row r="99" ht="15.75" customHeight="1">
      <c r="A99" s="39" t="str">
        <f>IF(95&lt;='月度總覽'!$F$5,'月度總覽'!$B$5+95-1,"")</f>
        <v/>
      </c>
      <c r="B99" t="str">
        <f t="shared" si="1"/>
        <v/>
      </c>
      <c r="C99" t="str">
        <f>IF(A99="","",IF(A99&lt;'月度總覽'!$F$6,"已過",IF(A99='月度總覽'!$F$6,"基準日","未來")))</f>
        <v/>
      </c>
      <c r="D99" s="40" t="str">
        <f>IF(A99="","",IF(A99='月度總覽'!$B$8,'月度總覽'!$B$9,0))</f>
        <v/>
      </c>
      <c r="E99" s="40" t="str">
        <f>IF(A99="","",SUMIFS('收支明細'!$E:$E,'收支明細'!$B:$B,"收入",'收支明細'!$A:$A,A99))</f>
        <v/>
      </c>
      <c r="F99" s="40" t="str">
        <f>IF(A99="","",SUMIFS('固定支出'!$C:$C,'固定支出'!$G:$G,"是",'固定支出'!$D:$D,A99))</f>
        <v/>
      </c>
      <c r="G99" s="40" t="str">
        <f>IF(A99="","",SUMIFS('收支明細'!$E:$E,'收支明細'!$B:$B,"支出",'收支明細'!$A:$A,A99))</f>
        <v/>
      </c>
      <c r="H99" s="40" t="str">
        <f>IF(OR(A99="",A99&lt;'月度總覽'!$F$6),0,'月度總覽'!$F$13)</f>
        <v>0.00</v>
      </c>
      <c r="I99" s="40" t="str">
        <f t="shared" si="2"/>
        <v/>
      </c>
      <c r="J99" s="40" t="str">
        <f>IF(OR(A99="",A99&lt;'月度總覽'!$F$6),"",'月度總覽'!$F$12-SUM($H$5:H99)+IF(AND('月度總覽'!$B$10="到帳日自動計入",'月度總覽'!$B$8&gt;'月度總覽'!$B$7,'月度總覽'!$B$8&lt;=A99),'月度總覽'!$B$9,0)+SUMIFS($E$5:E99,$A$5:A99,"&gt;"&amp;'月度總覽'!$B$7)-SUMIFS($G$5:G99,$A$5:A99,"&gt;"&amp;'月度總覽'!$B$7))</f>
        <v/>
      </c>
    </row>
    <row r="100" ht="15.75" customHeight="1">
      <c r="A100" s="39" t="str">
        <f>IF(96&lt;='月度總覽'!$F$5,'月度總覽'!$B$5+96-1,"")</f>
        <v/>
      </c>
      <c r="B100" t="str">
        <f t="shared" si="1"/>
        <v/>
      </c>
      <c r="C100" t="str">
        <f>IF(A100="","",IF(A100&lt;'月度總覽'!$F$6,"已過",IF(A100='月度總覽'!$F$6,"基準日","未來")))</f>
        <v/>
      </c>
      <c r="D100" s="40" t="str">
        <f>IF(A100="","",IF(A100='月度總覽'!$B$8,'月度總覽'!$B$9,0))</f>
        <v/>
      </c>
      <c r="E100" s="40" t="str">
        <f>IF(A100="","",SUMIFS('收支明細'!$E:$E,'收支明細'!$B:$B,"收入",'收支明細'!$A:$A,A100))</f>
        <v/>
      </c>
      <c r="F100" s="40" t="str">
        <f>IF(A100="","",SUMIFS('固定支出'!$C:$C,'固定支出'!$G:$G,"是",'固定支出'!$D:$D,A100))</f>
        <v/>
      </c>
      <c r="G100" s="40" t="str">
        <f>IF(A100="","",SUMIFS('收支明細'!$E:$E,'收支明細'!$B:$B,"支出",'收支明細'!$A:$A,A100))</f>
        <v/>
      </c>
      <c r="H100" s="40" t="str">
        <f>IF(OR(A100="",A100&lt;'月度總覽'!$F$6),0,'月度總覽'!$F$13)</f>
        <v>0.00</v>
      </c>
      <c r="I100" s="40" t="str">
        <f t="shared" si="2"/>
        <v/>
      </c>
      <c r="J100" s="40" t="str">
        <f>IF(OR(A100="",A100&lt;'月度總覽'!$F$6),"",'月度總覽'!$F$12-SUM($H$5:H100)+IF(AND('月度總覽'!$B$10="到帳日自動計入",'月度總覽'!$B$8&gt;'月度總覽'!$B$7,'月度總覽'!$B$8&lt;=A100),'月度總覽'!$B$9,0)+SUMIFS($E$5:E100,$A$5:A100,"&gt;"&amp;'月度總覽'!$B$7)-SUMIFS($G$5:G100,$A$5:A100,"&gt;"&amp;'月度總覽'!$B$7))</f>
        <v/>
      </c>
    </row>
    <row r="101" ht="15.75" customHeight="1">
      <c r="A101" s="39" t="str">
        <f>IF(97&lt;='月度總覽'!$F$5,'月度總覽'!$B$5+97-1,"")</f>
        <v/>
      </c>
      <c r="B101" t="str">
        <f t="shared" si="1"/>
        <v/>
      </c>
      <c r="C101" t="str">
        <f>IF(A101="","",IF(A101&lt;'月度總覽'!$F$6,"已過",IF(A101='月度總覽'!$F$6,"基準日","未來")))</f>
        <v/>
      </c>
      <c r="D101" s="40" t="str">
        <f>IF(A101="","",IF(A101='月度總覽'!$B$8,'月度總覽'!$B$9,0))</f>
        <v/>
      </c>
      <c r="E101" s="40" t="str">
        <f>IF(A101="","",SUMIFS('收支明細'!$E:$E,'收支明細'!$B:$B,"收入",'收支明細'!$A:$A,A101))</f>
        <v/>
      </c>
      <c r="F101" s="40" t="str">
        <f>IF(A101="","",SUMIFS('固定支出'!$C:$C,'固定支出'!$G:$G,"是",'固定支出'!$D:$D,A101))</f>
        <v/>
      </c>
      <c r="G101" s="40" t="str">
        <f>IF(A101="","",SUMIFS('收支明細'!$E:$E,'收支明細'!$B:$B,"支出",'收支明細'!$A:$A,A101))</f>
        <v/>
      </c>
      <c r="H101" s="40" t="str">
        <f>IF(OR(A101="",A101&lt;'月度總覽'!$F$6),0,'月度總覽'!$F$13)</f>
        <v>0.00</v>
      </c>
      <c r="I101" s="40" t="str">
        <f t="shared" si="2"/>
        <v/>
      </c>
      <c r="J101" s="40" t="str">
        <f>IF(OR(A101="",A101&lt;'月度總覽'!$F$6),"",'月度總覽'!$F$12-SUM($H$5:H101)+IF(AND('月度總覽'!$B$10="到帳日自動計入",'月度總覽'!$B$8&gt;'月度總覽'!$B$7,'月度總覽'!$B$8&lt;=A101),'月度總覽'!$B$9,0)+SUMIFS($E$5:E101,$A$5:A101,"&gt;"&amp;'月度總覽'!$B$7)-SUMIFS($G$5:G101,$A$5:A101,"&gt;"&amp;'月度總覽'!$B$7))</f>
        <v/>
      </c>
    </row>
    <row r="102" ht="15.75" customHeight="1">
      <c r="A102" s="39" t="str">
        <f>IF(98&lt;='月度總覽'!$F$5,'月度總覽'!$B$5+98-1,"")</f>
        <v/>
      </c>
      <c r="B102" t="str">
        <f t="shared" si="1"/>
        <v/>
      </c>
      <c r="C102" t="str">
        <f>IF(A102="","",IF(A102&lt;'月度總覽'!$F$6,"已過",IF(A102='月度總覽'!$F$6,"基準日","未來")))</f>
        <v/>
      </c>
      <c r="D102" s="40" t="str">
        <f>IF(A102="","",IF(A102='月度總覽'!$B$8,'月度總覽'!$B$9,0))</f>
        <v/>
      </c>
      <c r="E102" s="40" t="str">
        <f>IF(A102="","",SUMIFS('收支明細'!$E:$E,'收支明細'!$B:$B,"收入",'收支明細'!$A:$A,A102))</f>
        <v/>
      </c>
      <c r="F102" s="40" t="str">
        <f>IF(A102="","",SUMIFS('固定支出'!$C:$C,'固定支出'!$G:$G,"是",'固定支出'!$D:$D,A102))</f>
        <v/>
      </c>
      <c r="G102" s="40" t="str">
        <f>IF(A102="","",SUMIFS('收支明細'!$E:$E,'收支明細'!$B:$B,"支出",'收支明細'!$A:$A,A102))</f>
        <v/>
      </c>
      <c r="H102" s="40" t="str">
        <f>IF(OR(A102="",A102&lt;'月度總覽'!$F$6),0,'月度總覽'!$F$13)</f>
        <v>0.00</v>
      </c>
      <c r="I102" s="40" t="str">
        <f t="shared" si="2"/>
        <v/>
      </c>
      <c r="J102" s="40" t="str">
        <f>IF(OR(A102="",A102&lt;'月度總覽'!$F$6),"",'月度總覽'!$F$12-SUM($H$5:H102)+IF(AND('月度總覽'!$B$10="到帳日自動計入",'月度總覽'!$B$8&gt;'月度總覽'!$B$7,'月度總覽'!$B$8&lt;=A102),'月度總覽'!$B$9,0)+SUMIFS($E$5:E102,$A$5:A102,"&gt;"&amp;'月度總覽'!$B$7)-SUMIFS($G$5:G102,$A$5:A102,"&gt;"&amp;'月度總覽'!$B$7))</f>
        <v/>
      </c>
    </row>
    <row r="103" ht="15.75" customHeight="1">
      <c r="A103" s="39" t="str">
        <f>IF(99&lt;='月度總覽'!$F$5,'月度總覽'!$B$5+99-1,"")</f>
        <v/>
      </c>
      <c r="B103" t="str">
        <f t="shared" si="1"/>
        <v/>
      </c>
      <c r="C103" t="str">
        <f>IF(A103="","",IF(A103&lt;'月度總覽'!$F$6,"已過",IF(A103='月度總覽'!$F$6,"基準日","未來")))</f>
        <v/>
      </c>
      <c r="D103" s="40" t="str">
        <f>IF(A103="","",IF(A103='月度總覽'!$B$8,'月度總覽'!$B$9,0))</f>
        <v/>
      </c>
      <c r="E103" s="40" t="str">
        <f>IF(A103="","",SUMIFS('收支明細'!$E:$E,'收支明細'!$B:$B,"收入",'收支明細'!$A:$A,A103))</f>
        <v/>
      </c>
      <c r="F103" s="40" t="str">
        <f>IF(A103="","",SUMIFS('固定支出'!$C:$C,'固定支出'!$G:$G,"是",'固定支出'!$D:$D,A103))</f>
        <v/>
      </c>
      <c r="G103" s="40" t="str">
        <f>IF(A103="","",SUMIFS('收支明細'!$E:$E,'收支明細'!$B:$B,"支出",'收支明細'!$A:$A,A103))</f>
        <v/>
      </c>
      <c r="H103" s="40" t="str">
        <f>IF(OR(A103="",A103&lt;'月度總覽'!$F$6),0,'月度總覽'!$F$13)</f>
        <v>0.00</v>
      </c>
      <c r="I103" s="40" t="str">
        <f t="shared" si="2"/>
        <v/>
      </c>
      <c r="J103" s="40" t="str">
        <f>IF(OR(A103="",A103&lt;'月度總覽'!$F$6),"",'月度總覽'!$F$12-SUM($H$5:H103)+IF(AND('月度總覽'!$B$10="到帳日自動計入",'月度總覽'!$B$8&gt;'月度總覽'!$B$7,'月度總覽'!$B$8&lt;=A103),'月度總覽'!$B$9,0)+SUMIFS($E$5:E103,$A$5:A103,"&gt;"&amp;'月度總覽'!$B$7)-SUMIFS($G$5:G103,$A$5:A103,"&gt;"&amp;'月度總覽'!$B$7))</f>
        <v/>
      </c>
    </row>
    <row r="104" ht="15.75" customHeight="1">
      <c r="A104" s="39" t="str">
        <f>IF(100&lt;='月度總覽'!$F$5,'月度總覽'!$B$5+100-1,"")</f>
        <v/>
      </c>
      <c r="B104" t="str">
        <f t="shared" si="1"/>
        <v/>
      </c>
      <c r="C104" t="str">
        <f>IF(A104="","",IF(A104&lt;'月度總覽'!$F$6,"已過",IF(A104='月度總覽'!$F$6,"基準日","未來")))</f>
        <v/>
      </c>
      <c r="D104" s="40" t="str">
        <f>IF(A104="","",IF(A104='月度總覽'!$B$8,'月度總覽'!$B$9,0))</f>
        <v/>
      </c>
      <c r="E104" s="40" t="str">
        <f>IF(A104="","",SUMIFS('收支明細'!$E:$E,'收支明細'!$B:$B,"收入",'收支明細'!$A:$A,A104))</f>
        <v/>
      </c>
      <c r="F104" s="40" t="str">
        <f>IF(A104="","",SUMIFS('固定支出'!$C:$C,'固定支出'!$G:$G,"是",'固定支出'!$D:$D,A104))</f>
        <v/>
      </c>
      <c r="G104" s="40" t="str">
        <f>IF(A104="","",SUMIFS('收支明細'!$E:$E,'收支明細'!$B:$B,"支出",'收支明細'!$A:$A,A104))</f>
        <v/>
      </c>
      <c r="H104" s="40" t="str">
        <f>IF(OR(A104="",A104&lt;'月度總覽'!$F$6),0,'月度總覽'!$F$13)</f>
        <v>0.00</v>
      </c>
      <c r="I104" s="40" t="str">
        <f t="shared" si="2"/>
        <v/>
      </c>
      <c r="J104" s="40" t="str">
        <f>IF(OR(A104="",A104&lt;'月度總覽'!$F$6),"",'月度總覽'!$F$12-SUM($H$5:H104)+IF(AND('月度總覽'!$B$10="到帳日自動計入",'月度總覽'!$B$8&gt;'月度總覽'!$B$7,'月度總覽'!$B$8&lt;=A104),'月度總覽'!$B$9,0)+SUMIFS($E$5:E104,$A$5:A104,"&gt;"&amp;'月度總覽'!$B$7)-SUMIFS($G$5:G104,$A$5:A104,"&gt;"&amp;'月度總覽'!$B$7))</f>
        <v/>
      </c>
    </row>
    <row r="105" ht="15.75" customHeight="1">
      <c r="A105" s="39" t="str">
        <f>IF(101&lt;='月度總覽'!$F$5,'月度總覽'!$B$5+101-1,"")</f>
        <v/>
      </c>
      <c r="B105" t="str">
        <f t="shared" si="1"/>
        <v/>
      </c>
      <c r="C105" t="str">
        <f>IF(A105="","",IF(A105&lt;'月度總覽'!$F$6,"已過",IF(A105='月度總覽'!$F$6,"基準日","未來")))</f>
        <v/>
      </c>
      <c r="D105" s="40" t="str">
        <f>IF(A105="","",IF(A105='月度總覽'!$B$8,'月度總覽'!$B$9,0))</f>
        <v/>
      </c>
      <c r="E105" s="40" t="str">
        <f>IF(A105="","",SUMIFS('收支明細'!$E:$E,'收支明細'!$B:$B,"收入",'收支明細'!$A:$A,A105))</f>
        <v/>
      </c>
      <c r="F105" s="40" t="str">
        <f>IF(A105="","",SUMIFS('固定支出'!$C:$C,'固定支出'!$G:$G,"是",'固定支出'!$D:$D,A105))</f>
        <v/>
      </c>
      <c r="G105" s="40" t="str">
        <f>IF(A105="","",SUMIFS('收支明細'!$E:$E,'收支明細'!$B:$B,"支出",'收支明細'!$A:$A,A105))</f>
        <v/>
      </c>
      <c r="H105" s="40" t="str">
        <f>IF(OR(A105="",A105&lt;'月度總覽'!$F$6),0,'月度總覽'!$F$13)</f>
        <v>0.00</v>
      </c>
      <c r="I105" s="40" t="str">
        <f t="shared" si="2"/>
        <v/>
      </c>
      <c r="J105" s="40" t="str">
        <f>IF(OR(A105="",A105&lt;'月度總覽'!$F$6),"",'月度總覽'!$F$12-SUM($H$5:H105)+IF(AND('月度總覽'!$B$10="到帳日自動計入",'月度總覽'!$B$8&gt;'月度總覽'!$B$7,'月度總覽'!$B$8&lt;=A105),'月度總覽'!$B$9,0)+SUMIFS($E$5:E105,$A$5:A105,"&gt;"&amp;'月度總覽'!$B$7)-SUMIFS($G$5:G105,$A$5:A105,"&gt;"&amp;'月度總覽'!$B$7))</f>
        <v/>
      </c>
    </row>
    <row r="106" ht="15.75" customHeight="1">
      <c r="A106" s="39" t="str">
        <f>IF(102&lt;='月度總覽'!$F$5,'月度總覽'!$B$5+102-1,"")</f>
        <v/>
      </c>
      <c r="B106" t="str">
        <f t="shared" si="1"/>
        <v/>
      </c>
      <c r="C106" t="str">
        <f>IF(A106="","",IF(A106&lt;'月度總覽'!$F$6,"已過",IF(A106='月度總覽'!$F$6,"基準日","未來")))</f>
        <v/>
      </c>
      <c r="D106" s="40" t="str">
        <f>IF(A106="","",IF(A106='月度總覽'!$B$8,'月度總覽'!$B$9,0))</f>
        <v/>
      </c>
      <c r="E106" s="40" t="str">
        <f>IF(A106="","",SUMIFS('收支明細'!$E:$E,'收支明細'!$B:$B,"收入",'收支明細'!$A:$A,A106))</f>
        <v/>
      </c>
      <c r="F106" s="40" t="str">
        <f>IF(A106="","",SUMIFS('固定支出'!$C:$C,'固定支出'!$G:$G,"是",'固定支出'!$D:$D,A106))</f>
        <v/>
      </c>
      <c r="G106" s="40" t="str">
        <f>IF(A106="","",SUMIFS('收支明細'!$E:$E,'收支明細'!$B:$B,"支出",'收支明細'!$A:$A,A106))</f>
        <v/>
      </c>
      <c r="H106" s="40" t="str">
        <f>IF(OR(A106="",A106&lt;'月度總覽'!$F$6),0,'月度總覽'!$F$13)</f>
        <v>0.00</v>
      </c>
      <c r="I106" s="40" t="str">
        <f t="shared" si="2"/>
        <v/>
      </c>
      <c r="J106" s="40" t="str">
        <f>IF(OR(A106="",A106&lt;'月度總覽'!$F$6),"",'月度總覽'!$F$12-SUM($H$5:H106)+IF(AND('月度總覽'!$B$10="到帳日自動計入",'月度總覽'!$B$8&gt;'月度總覽'!$B$7,'月度總覽'!$B$8&lt;=A106),'月度總覽'!$B$9,0)+SUMIFS($E$5:E106,$A$5:A106,"&gt;"&amp;'月度總覽'!$B$7)-SUMIFS($G$5:G106,$A$5:A106,"&gt;"&amp;'月度總覽'!$B$7))</f>
        <v/>
      </c>
    </row>
    <row r="107" ht="15.75" customHeight="1">
      <c r="A107" s="39" t="str">
        <f>IF(103&lt;='月度總覽'!$F$5,'月度總覽'!$B$5+103-1,"")</f>
        <v/>
      </c>
      <c r="B107" t="str">
        <f t="shared" si="1"/>
        <v/>
      </c>
      <c r="C107" t="str">
        <f>IF(A107="","",IF(A107&lt;'月度總覽'!$F$6,"已過",IF(A107='月度總覽'!$F$6,"基準日","未來")))</f>
        <v/>
      </c>
      <c r="D107" s="40" t="str">
        <f>IF(A107="","",IF(A107='月度總覽'!$B$8,'月度總覽'!$B$9,0))</f>
        <v/>
      </c>
      <c r="E107" s="40" t="str">
        <f>IF(A107="","",SUMIFS('收支明細'!$E:$E,'收支明細'!$B:$B,"收入",'收支明細'!$A:$A,A107))</f>
        <v/>
      </c>
      <c r="F107" s="40" t="str">
        <f>IF(A107="","",SUMIFS('固定支出'!$C:$C,'固定支出'!$G:$G,"是",'固定支出'!$D:$D,A107))</f>
        <v/>
      </c>
      <c r="G107" s="40" t="str">
        <f>IF(A107="","",SUMIFS('收支明細'!$E:$E,'收支明細'!$B:$B,"支出",'收支明細'!$A:$A,A107))</f>
        <v/>
      </c>
      <c r="H107" s="40" t="str">
        <f>IF(OR(A107="",A107&lt;'月度總覽'!$F$6),0,'月度總覽'!$F$13)</f>
        <v>0.00</v>
      </c>
      <c r="I107" s="40" t="str">
        <f t="shared" si="2"/>
        <v/>
      </c>
      <c r="J107" s="40" t="str">
        <f>IF(OR(A107="",A107&lt;'月度總覽'!$F$6),"",'月度總覽'!$F$12-SUM($H$5:H107)+IF(AND('月度總覽'!$B$10="到帳日自動計入",'月度總覽'!$B$8&gt;'月度總覽'!$B$7,'月度總覽'!$B$8&lt;=A107),'月度總覽'!$B$9,0)+SUMIFS($E$5:E107,$A$5:A107,"&gt;"&amp;'月度總覽'!$B$7)-SUMIFS($G$5:G107,$A$5:A107,"&gt;"&amp;'月度總覽'!$B$7))</f>
        <v/>
      </c>
    </row>
    <row r="108" ht="15.75" customHeight="1">
      <c r="A108" s="39" t="str">
        <f>IF(104&lt;='月度總覽'!$F$5,'月度總覽'!$B$5+104-1,"")</f>
        <v/>
      </c>
      <c r="B108" t="str">
        <f t="shared" si="1"/>
        <v/>
      </c>
      <c r="C108" t="str">
        <f>IF(A108="","",IF(A108&lt;'月度總覽'!$F$6,"已過",IF(A108='月度總覽'!$F$6,"基準日","未來")))</f>
        <v/>
      </c>
      <c r="D108" s="40" t="str">
        <f>IF(A108="","",IF(A108='月度總覽'!$B$8,'月度總覽'!$B$9,0))</f>
        <v/>
      </c>
      <c r="E108" s="40" t="str">
        <f>IF(A108="","",SUMIFS('收支明細'!$E:$E,'收支明細'!$B:$B,"收入",'收支明細'!$A:$A,A108))</f>
        <v/>
      </c>
      <c r="F108" s="40" t="str">
        <f>IF(A108="","",SUMIFS('固定支出'!$C:$C,'固定支出'!$G:$G,"是",'固定支出'!$D:$D,A108))</f>
        <v/>
      </c>
      <c r="G108" s="40" t="str">
        <f>IF(A108="","",SUMIFS('收支明細'!$E:$E,'收支明細'!$B:$B,"支出",'收支明細'!$A:$A,A108))</f>
        <v/>
      </c>
      <c r="H108" s="40" t="str">
        <f>IF(OR(A108="",A108&lt;'月度總覽'!$F$6),0,'月度總覽'!$F$13)</f>
        <v>0.00</v>
      </c>
      <c r="I108" s="40" t="str">
        <f t="shared" si="2"/>
        <v/>
      </c>
      <c r="J108" s="40" t="str">
        <f>IF(OR(A108="",A108&lt;'月度總覽'!$F$6),"",'月度總覽'!$F$12-SUM($H$5:H108)+IF(AND('月度總覽'!$B$10="到帳日自動計入",'月度總覽'!$B$8&gt;'月度總覽'!$B$7,'月度總覽'!$B$8&lt;=A108),'月度總覽'!$B$9,0)+SUMIFS($E$5:E108,$A$5:A108,"&gt;"&amp;'月度總覽'!$B$7)-SUMIFS($G$5:G108,$A$5:A108,"&gt;"&amp;'月度總覽'!$B$7))</f>
        <v/>
      </c>
    </row>
    <row r="109" ht="15.75" customHeight="1">
      <c r="A109" s="39" t="str">
        <f>IF(105&lt;='月度總覽'!$F$5,'月度總覽'!$B$5+105-1,"")</f>
        <v/>
      </c>
      <c r="B109" t="str">
        <f t="shared" si="1"/>
        <v/>
      </c>
      <c r="C109" t="str">
        <f>IF(A109="","",IF(A109&lt;'月度總覽'!$F$6,"已過",IF(A109='月度總覽'!$F$6,"基準日","未來")))</f>
        <v/>
      </c>
      <c r="D109" s="40" t="str">
        <f>IF(A109="","",IF(A109='月度總覽'!$B$8,'月度總覽'!$B$9,0))</f>
        <v/>
      </c>
      <c r="E109" s="40" t="str">
        <f>IF(A109="","",SUMIFS('收支明細'!$E:$E,'收支明細'!$B:$B,"收入",'收支明細'!$A:$A,A109))</f>
        <v/>
      </c>
      <c r="F109" s="40" t="str">
        <f>IF(A109="","",SUMIFS('固定支出'!$C:$C,'固定支出'!$G:$G,"是",'固定支出'!$D:$D,A109))</f>
        <v/>
      </c>
      <c r="G109" s="40" t="str">
        <f>IF(A109="","",SUMIFS('收支明細'!$E:$E,'收支明細'!$B:$B,"支出",'收支明細'!$A:$A,A109))</f>
        <v/>
      </c>
      <c r="H109" s="40" t="str">
        <f>IF(OR(A109="",A109&lt;'月度總覽'!$F$6),0,'月度總覽'!$F$13)</f>
        <v>0.00</v>
      </c>
      <c r="I109" s="40" t="str">
        <f t="shared" si="2"/>
        <v/>
      </c>
      <c r="J109" s="40" t="str">
        <f>IF(OR(A109="",A109&lt;'月度總覽'!$F$6),"",'月度總覽'!$F$12-SUM($H$5:H109)+IF(AND('月度總覽'!$B$10="到帳日自動計入",'月度總覽'!$B$8&gt;'月度總覽'!$B$7,'月度總覽'!$B$8&lt;=A109),'月度總覽'!$B$9,0)+SUMIFS($E$5:E109,$A$5:A109,"&gt;"&amp;'月度總覽'!$B$7)-SUMIFS($G$5:G109,$A$5:A109,"&gt;"&amp;'月度總覽'!$B$7))</f>
        <v/>
      </c>
    </row>
    <row r="110" ht="15.75" customHeight="1">
      <c r="A110" s="39" t="str">
        <f>IF(106&lt;='月度總覽'!$F$5,'月度總覽'!$B$5+106-1,"")</f>
        <v/>
      </c>
      <c r="B110" t="str">
        <f t="shared" si="1"/>
        <v/>
      </c>
      <c r="C110" t="str">
        <f>IF(A110="","",IF(A110&lt;'月度總覽'!$F$6,"已過",IF(A110='月度總覽'!$F$6,"基準日","未來")))</f>
        <v/>
      </c>
      <c r="D110" s="40" t="str">
        <f>IF(A110="","",IF(A110='月度總覽'!$B$8,'月度總覽'!$B$9,0))</f>
        <v/>
      </c>
      <c r="E110" s="40" t="str">
        <f>IF(A110="","",SUMIFS('收支明細'!$E:$E,'收支明細'!$B:$B,"收入",'收支明細'!$A:$A,A110))</f>
        <v/>
      </c>
      <c r="F110" s="40" t="str">
        <f>IF(A110="","",SUMIFS('固定支出'!$C:$C,'固定支出'!$G:$G,"是",'固定支出'!$D:$D,A110))</f>
        <v/>
      </c>
      <c r="G110" s="40" t="str">
        <f>IF(A110="","",SUMIFS('收支明細'!$E:$E,'收支明細'!$B:$B,"支出",'收支明細'!$A:$A,A110))</f>
        <v/>
      </c>
      <c r="H110" s="40" t="str">
        <f>IF(OR(A110="",A110&lt;'月度總覽'!$F$6),0,'月度總覽'!$F$13)</f>
        <v>0.00</v>
      </c>
      <c r="I110" s="40" t="str">
        <f t="shared" si="2"/>
        <v/>
      </c>
      <c r="J110" s="40" t="str">
        <f>IF(OR(A110="",A110&lt;'月度總覽'!$F$6),"",'月度總覽'!$F$12-SUM($H$5:H110)+IF(AND('月度總覽'!$B$10="到帳日自動計入",'月度總覽'!$B$8&gt;'月度總覽'!$B$7,'月度總覽'!$B$8&lt;=A110),'月度總覽'!$B$9,0)+SUMIFS($E$5:E110,$A$5:A110,"&gt;"&amp;'月度總覽'!$B$7)-SUMIFS($G$5:G110,$A$5:A110,"&gt;"&amp;'月度總覽'!$B$7))</f>
        <v/>
      </c>
    </row>
    <row r="111" ht="15.75" customHeight="1">
      <c r="A111" s="39" t="str">
        <f>IF(107&lt;='月度總覽'!$F$5,'月度總覽'!$B$5+107-1,"")</f>
        <v/>
      </c>
      <c r="B111" t="str">
        <f t="shared" si="1"/>
        <v/>
      </c>
      <c r="C111" t="str">
        <f>IF(A111="","",IF(A111&lt;'月度總覽'!$F$6,"已過",IF(A111='月度總覽'!$F$6,"基準日","未來")))</f>
        <v/>
      </c>
      <c r="D111" s="40" t="str">
        <f>IF(A111="","",IF(A111='月度總覽'!$B$8,'月度總覽'!$B$9,0))</f>
        <v/>
      </c>
      <c r="E111" s="40" t="str">
        <f>IF(A111="","",SUMIFS('收支明細'!$E:$E,'收支明細'!$B:$B,"收入",'收支明細'!$A:$A,A111))</f>
        <v/>
      </c>
      <c r="F111" s="40" t="str">
        <f>IF(A111="","",SUMIFS('固定支出'!$C:$C,'固定支出'!$G:$G,"是",'固定支出'!$D:$D,A111))</f>
        <v/>
      </c>
      <c r="G111" s="40" t="str">
        <f>IF(A111="","",SUMIFS('收支明細'!$E:$E,'收支明細'!$B:$B,"支出",'收支明細'!$A:$A,A111))</f>
        <v/>
      </c>
      <c r="H111" s="40" t="str">
        <f>IF(OR(A111="",A111&lt;'月度總覽'!$F$6),0,'月度總覽'!$F$13)</f>
        <v>0.00</v>
      </c>
      <c r="I111" s="40" t="str">
        <f t="shared" si="2"/>
        <v/>
      </c>
      <c r="J111" s="40" t="str">
        <f>IF(OR(A111="",A111&lt;'月度總覽'!$F$6),"",'月度總覽'!$F$12-SUM($H$5:H111)+IF(AND('月度總覽'!$B$10="到帳日自動計入",'月度總覽'!$B$8&gt;'月度總覽'!$B$7,'月度總覽'!$B$8&lt;=A111),'月度總覽'!$B$9,0)+SUMIFS($E$5:E111,$A$5:A111,"&gt;"&amp;'月度總覽'!$B$7)-SUMIFS($G$5:G111,$A$5:A111,"&gt;"&amp;'月度總覽'!$B$7))</f>
        <v/>
      </c>
    </row>
    <row r="112" ht="15.75" customHeight="1">
      <c r="A112" s="39" t="str">
        <f>IF(108&lt;='月度總覽'!$F$5,'月度總覽'!$B$5+108-1,"")</f>
        <v/>
      </c>
      <c r="B112" t="str">
        <f t="shared" si="1"/>
        <v/>
      </c>
      <c r="C112" t="str">
        <f>IF(A112="","",IF(A112&lt;'月度總覽'!$F$6,"已過",IF(A112='月度總覽'!$F$6,"基準日","未來")))</f>
        <v/>
      </c>
      <c r="D112" s="40" t="str">
        <f>IF(A112="","",IF(A112='月度總覽'!$B$8,'月度總覽'!$B$9,0))</f>
        <v/>
      </c>
      <c r="E112" s="40" t="str">
        <f>IF(A112="","",SUMIFS('收支明細'!$E:$E,'收支明細'!$B:$B,"收入",'收支明細'!$A:$A,A112))</f>
        <v/>
      </c>
      <c r="F112" s="40" t="str">
        <f>IF(A112="","",SUMIFS('固定支出'!$C:$C,'固定支出'!$G:$G,"是",'固定支出'!$D:$D,A112))</f>
        <v/>
      </c>
      <c r="G112" s="40" t="str">
        <f>IF(A112="","",SUMIFS('收支明細'!$E:$E,'收支明細'!$B:$B,"支出",'收支明細'!$A:$A,A112))</f>
        <v/>
      </c>
      <c r="H112" s="40" t="str">
        <f>IF(OR(A112="",A112&lt;'月度總覽'!$F$6),0,'月度總覽'!$F$13)</f>
        <v>0.00</v>
      </c>
      <c r="I112" s="40" t="str">
        <f t="shared" si="2"/>
        <v/>
      </c>
      <c r="J112" s="40" t="str">
        <f>IF(OR(A112="",A112&lt;'月度總覽'!$F$6),"",'月度總覽'!$F$12-SUM($H$5:H112)+IF(AND('月度總覽'!$B$10="到帳日自動計入",'月度總覽'!$B$8&gt;'月度總覽'!$B$7,'月度總覽'!$B$8&lt;=A112),'月度總覽'!$B$9,0)+SUMIFS($E$5:E112,$A$5:A112,"&gt;"&amp;'月度總覽'!$B$7)-SUMIFS($G$5:G112,$A$5:A112,"&gt;"&amp;'月度總覽'!$B$7))</f>
        <v/>
      </c>
    </row>
    <row r="113" ht="15.75" customHeight="1">
      <c r="A113" s="39" t="str">
        <f>IF(109&lt;='月度總覽'!$F$5,'月度總覽'!$B$5+109-1,"")</f>
        <v/>
      </c>
      <c r="B113" t="str">
        <f t="shared" si="1"/>
        <v/>
      </c>
      <c r="C113" t="str">
        <f>IF(A113="","",IF(A113&lt;'月度總覽'!$F$6,"已過",IF(A113='月度總覽'!$F$6,"基準日","未來")))</f>
        <v/>
      </c>
      <c r="D113" s="40" t="str">
        <f>IF(A113="","",IF(A113='月度總覽'!$B$8,'月度總覽'!$B$9,0))</f>
        <v/>
      </c>
      <c r="E113" s="40" t="str">
        <f>IF(A113="","",SUMIFS('收支明細'!$E:$E,'收支明細'!$B:$B,"收入",'收支明細'!$A:$A,A113))</f>
        <v/>
      </c>
      <c r="F113" s="40" t="str">
        <f>IF(A113="","",SUMIFS('固定支出'!$C:$C,'固定支出'!$G:$G,"是",'固定支出'!$D:$D,A113))</f>
        <v/>
      </c>
      <c r="G113" s="40" t="str">
        <f>IF(A113="","",SUMIFS('收支明細'!$E:$E,'收支明細'!$B:$B,"支出",'收支明細'!$A:$A,A113))</f>
        <v/>
      </c>
      <c r="H113" s="40" t="str">
        <f>IF(OR(A113="",A113&lt;'月度總覽'!$F$6),0,'月度總覽'!$F$13)</f>
        <v>0.00</v>
      </c>
      <c r="I113" s="40" t="str">
        <f t="shared" si="2"/>
        <v/>
      </c>
      <c r="J113" s="40" t="str">
        <f>IF(OR(A113="",A113&lt;'月度總覽'!$F$6),"",'月度總覽'!$F$12-SUM($H$5:H113)+IF(AND('月度總覽'!$B$10="到帳日自動計入",'月度總覽'!$B$8&gt;'月度總覽'!$B$7,'月度總覽'!$B$8&lt;=A113),'月度總覽'!$B$9,0)+SUMIFS($E$5:E113,$A$5:A113,"&gt;"&amp;'月度總覽'!$B$7)-SUMIFS($G$5:G113,$A$5:A113,"&gt;"&amp;'月度總覽'!$B$7))</f>
        <v/>
      </c>
    </row>
    <row r="114" ht="15.75" customHeight="1">
      <c r="A114" s="39" t="str">
        <f>IF(110&lt;='月度總覽'!$F$5,'月度總覽'!$B$5+110-1,"")</f>
        <v/>
      </c>
      <c r="B114" t="str">
        <f t="shared" si="1"/>
        <v/>
      </c>
      <c r="C114" t="str">
        <f>IF(A114="","",IF(A114&lt;'月度總覽'!$F$6,"已過",IF(A114='月度總覽'!$F$6,"基準日","未來")))</f>
        <v/>
      </c>
      <c r="D114" s="40" t="str">
        <f>IF(A114="","",IF(A114='月度總覽'!$B$8,'月度總覽'!$B$9,0))</f>
        <v/>
      </c>
      <c r="E114" s="40" t="str">
        <f>IF(A114="","",SUMIFS('收支明細'!$E:$E,'收支明細'!$B:$B,"收入",'收支明細'!$A:$A,A114))</f>
        <v/>
      </c>
      <c r="F114" s="40" t="str">
        <f>IF(A114="","",SUMIFS('固定支出'!$C:$C,'固定支出'!$G:$G,"是",'固定支出'!$D:$D,A114))</f>
        <v/>
      </c>
      <c r="G114" s="40" t="str">
        <f>IF(A114="","",SUMIFS('收支明細'!$E:$E,'收支明細'!$B:$B,"支出",'收支明細'!$A:$A,A114))</f>
        <v/>
      </c>
      <c r="H114" s="40" t="str">
        <f>IF(OR(A114="",A114&lt;'月度總覽'!$F$6),0,'月度總覽'!$F$13)</f>
        <v>0.00</v>
      </c>
      <c r="I114" s="40" t="str">
        <f t="shared" si="2"/>
        <v/>
      </c>
      <c r="J114" s="40" t="str">
        <f>IF(OR(A114="",A114&lt;'月度總覽'!$F$6),"",'月度總覽'!$F$12-SUM($H$5:H114)+IF(AND('月度總覽'!$B$10="到帳日自動計入",'月度總覽'!$B$8&gt;'月度總覽'!$B$7,'月度總覽'!$B$8&lt;=A114),'月度總覽'!$B$9,0)+SUMIFS($E$5:E114,$A$5:A114,"&gt;"&amp;'月度總覽'!$B$7)-SUMIFS($G$5:G114,$A$5:A114,"&gt;"&amp;'月度總覽'!$B$7))</f>
        <v/>
      </c>
    </row>
    <row r="115" ht="15.75" customHeight="1">
      <c r="A115" s="39" t="str">
        <f>IF(111&lt;='月度總覽'!$F$5,'月度總覽'!$B$5+111-1,"")</f>
        <v/>
      </c>
      <c r="B115" t="str">
        <f t="shared" si="1"/>
        <v/>
      </c>
      <c r="C115" t="str">
        <f>IF(A115="","",IF(A115&lt;'月度總覽'!$F$6,"已過",IF(A115='月度總覽'!$F$6,"基準日","未來")))</f>
        <v/>
      </c>
      <c r="D115" s="40" t="str">
        <f>IF(A115="","",IF(A115='月度總覽'!$B$8,'月度總覽'!$B$9,0))</f>
        <v/>
      </c>
      <c r="E115" s="40" t="str">
        <f>IF(A115="","",SUMIFS('收支明細'!$E:$E,'收支明細'!$B:$B,"收入",'收支明細'!$A:$A,A115))</f>
        <v/>
      </c>
      <c r="F115" s="40" t="str">
        <f>IF(A115="","",SUMIFS('固定支出'!$C:$C,'固定支出'!$G:$G,"是",'固定支出'!$D:$D,A115))</f>
        <v/>
      </c>
      <c r="G115" s="40" t="str">
        <f>IF(A115="","",SUMIFS('收支明細'!$E:$E,'收支明細'!$B:$B,"支出",'收支明細'!$A:$A,A115))</f>
        <v/>
      </c>
      <c r="H115" s="40" t="str">
        <f>IF(OR(A115="",A115&lt;'月度總覽'!$F$6),0,'月度總覽'!$F$13)</f>
        <v>0.00</v>
      </c>
      <c r="I115" s="40" t="str">
        <f t="shared" si="2"/>
        <v/>
      </c>
      <c r="J115" s="40" t="str">
        <f>IF(OR(A115="",A115&lt;'月度總覽'!$F$6),"",'月度總覽'!$F$12-SUM($H$5:H115)+IF(AND('月度總覽'!$B$10="到帳日自動計入",'月度總覽'!$B$8&gt;'月度總覽'!$B$7,'月度總覽'!$B$8&lt;=A115),'月度總覽'!$B$9,0)+SUMIFS($E$5:E115,$A$5:A115,"&gt;"&amp;'月度總覽'!$B$7)-SUMIFS($G$5:G115,$A$5:A115,"&gt;"&amp;'月度總覽'!$B$7))</f>
        <v/>
      </c>
    </row>
    <row r="116" ht="15.75" customHeight="1">
      <c r="A116" s="39" t="str">
        <f>IF(112&lt;='月度總覽'!$F$5,'月度總覽'!$B$5+112-1,"")</f>
        <v/>
      </c>
      <c r="B116" t="str">
        <f t="shared" si="1"/>
        <v/>
      </c>
      <c r="C116" t="str">
        <f>IF(A116="","",IF(A116&lt;'月度總覽'!$F$6,"已過",IF(A116='月度總覽'!$F$6,"基準日","未來")))</f>
        <v/>
      </c>
      <c r="D116" s="40" t="str">
        <f>IF(A116="","",IF(A116='月度總覽'!$B$8,'月度總覽'!$B$9,0))</f>
        <v/>
      </c>
      <c r="E116" s="40" t="str">
        <f>IF(A116="","",SUMIFS('收支明細'!$E:$E,'收支明細'!$B:$B,"收入",'收支明細'!$A:$A,A116))</f>
        <v/>
      </c>
      <c r="F116" s="40" t="str">
        <f>IF(A116="","",SUMIFS('固定支出'!$C:$C,'固定支出'!$G:$G,"是",'固定支出'!$D:$D,A116))</f>
        <v/>
      </c>
      <c r="G116" s="40" t="str">
        <f>IF(A116="","",SUMIFS('收支明細'!$E:$E,'收支明細'!$B:$B,"支出",'收支明細'!$A:$A,A116))</f>
        <v/>
      </c>
      <c r="H116" s="40" t="str">
        <f>IF(OR(A116="",A116&lt;'月度總覽'!$F$6),0,'月度總覽'!$F$13)</f>
        <v>0.00</v>
      </c>
      <c r="I116" s="40" t="str">
        <f t="shared" si="2"/>
        <v/>
      </c>
      <c r="J116" s="40" t="str">
        <f>IF(OR(A116="",A116&lt;'月度總覽'!$F$6),"",'月度總覽'!$F$12-SUM($H$5:H116)+IF(AND('月度總覽'!$B$10="到帳日自動計入",'月度總覽'!$B$8&gt;'月度總覽'!$B$7,'月度總覽'!$B$8&lt;=A116),'月度總覽'!$B$9,0)+SUMIFS($E$5:E116,$A$5:A116,"&gt;"&amp;'月度總覽'!$B$7)-SUMIFS($G$5:G116,$A$5:A116,"&gt;"&amp;'月度總覽'!$B$7))</f>
        <v/>
      </c>
    </row>
    <row r="117" ht="15.75" customHeight="1">
      <c r="A117" s="39" t="str">
        <f>IF(113&lt;='月度總覽'!$F$5,'月度總覽'!$B$5+113-1,"")</f>
        <v/>
      </c>
      <c r="B117" t="str">
        <f t="shared" si="1"/>
        <v/>
      </c>
      <c r="C117" t="str">
        <f>IF(A117="","",IF(A117&lt;'月度總覽'!$F$6,"已過",IF(A117='月度總覽'!$F$6,"基準日","未來")))</f>
        <v/>
      </c>
      <c r="D117" s="40" t="str">
        <f>IF(A117="","",IF(A117='月度總覽'!$B$8,'月度總覽'!$B$9,0))</f>
        <v/>
      </c>
      <c r="E117" s="40" t="str">
        <f>IF(A117="","",SUMIFS('收支明細'!$E:$E,'收支明細'!$B:$B,"收入",'收支明細'!$A:$A,A117))</f>
        <v/>
      </c>
      <c r="F117" s="40" t="str">
        <f>IF(A117="","",SUMIFS('固定支出'!$C:$C,'固定支出'!$G:$G,"是",'固定支出'!$D:$D,A117))</f>
        <v/>
      </c>
      <c r="G117" s="40" t="str">
        <f>IF(A117="","",SUMIFS('收支明細'!$E:$E,'收支明細'!$B:$B,"支出",'收支明細'!$A:$A,A117))</f>
        <v/>
      </c>
      <c r="H117" s="40" t="str">
        <f>IF(OR(A117="",A117&lt;'月度總覽'!$F$6),0,'月度總覽'!$F$13)</f>
        <v>0.00</v>
      </c>
      <c r="I117" s="40" t="str">
        <f t="shared" si="2"/>
        <v/>
      </c>
      <c r="J117" s="40" t="str">
        <f>IF(OR(A117="",A117&lt;'月度總覽'!$F$6),"",'月度總覽'!$F$12-SUM($H$5:H117)+IF(AND('月度總覽'!$B$10="到帳日自動計入",'月度總覽'!$B$8&gt;'月度總覽'!$B$7,'月度總覽'!$B$8&lt;=A117),'月度總覽'!$B$9,0)+SUMIFS($E$5:E117,$A$5:A117,"&gt;"&amp;'月度總覽'!$B$7)-SUMIFS($G$5:G117,$A$5:A117,"&gt;"&amp;'月度總覽'!$B$7))</f>
        <v/>
      </c>
    </row>
    <row r="118" ht="15.75" customHeight="1">
      <c r="A118" s="39" t="str">
        <f>IF(114&lt;='月度總覽'!$F$5,'月度總覽'!$B$5+114-1,"")</f>
        <v/>
      </c>
      <c r="B118" t="str">
        <f t="shared" si="1"/>
        <v/>
      </c>
      <c r="C118" t="str">
        <f>IF(A118="","",IF(A118&lt;'月度總覽'!$F$6,"已過",IF(A118='月度總覽'!$F$6,"基準日","未來")))</f>
        <v/>
      </c>
      <c r="D118" s="40" t="str">
        <f>IF(A118="","",IF(A118='月度總覽'!$B$8,'月度總覽'!$B$9,0))</f>
        <v/>
      </c>
      <c r="E118" s="40" t="str">
        <f>IF(A118="","",SUMIFS('收支明細'!$E:$E,'收支明細'!$B:$B,"收入",'收支明細'!$A:$A,A118))</f>
        <v/>
      </c>
      <c r="F118" s="40" t="str">
        <f>IF(A118="","",SUMIFS('固定支出'!$C:$C,'固定支出'!$G:$G,"是",'固定支出'!$D:$D,A118))</f>
        <v/>
      </c>
      <c r="G118" s="40" t="str">
        <f>IF(A118="","",SUMIFS('收支明細'!$E:$E,'收支明細'!$B:$B,"支出",'收支明細'!$A:$A,A118))</f>
        <v/>
      </c>
      <c r="H118" s="40" t="str">
        <f>IF(OR(A118="",A118&lt;'月度總覽'!$F$6),0,'月度總覽'!$F$13)</f>
        <v>0.00</v>
      </c>
      <c r="I118" s="40" t="str">
        <f t="shared" si="2"/>
        <v/>
      </c>
      <c r="J118" s="40" t="str">
        <f>IF(OR(A118="",A118&lt;'月度總覽'!$F$6),"",'月度總覽'!$F$12-SUM($H$5:H118)+IF(AND('月度總覽'!$B$10="到帳日自動計入",'月度總覽'!$B$8&gt;'月度總覽'!$B$7,'月度總覽'!$B$8&lt;=A118),'月度總覽'!$B$9,0)+SUMIFS($E$5:E118,$A$5:A118,"&gt;"&amp;'月度總覽'!$B$7)-SUMIFS($G$5:G118,$A$5:A118,"&gt;"&amp;'月度總覽'!$B$7))</f>
        <v/>
      </c>
    </row>
    <row r="119" ht="15.75" customHeight="1">
      <c r="A119" s="39" t="str">
        <f>IF(115&lt;='月度總覽'!$F$5,'月度總覽'!$B$5+115-1,"")</f>
        <v/>
      </c>
      <c r="B119" t="str">
        <f t="shared" si="1"/>
        <v/>
      </c>
      <c r="C119" t="str">
        <f>IF(A119="","",IF(A119&lt;'月度總覽'!$F$6,"已過",IF(A119='月度總覽'!$F$6,"基準日","未來")))</f>
        <v/>
      </c>
      <c r="D119" s="40" t="str">
        <f>IF(A119="","",IF(A119='月度總覽'!$B$8,'月度總覽'!$B$9,0))</f>
        <v/>
      </c>
      <c r="E119" s="40" t="str">
        <f>IF(A119="","",SUMIFS('收支明細'!$E:$E,'收支明細'!$B:$B,"收入",'收支明細'!$A:$A,A119))</f>
        <v/>
      </c>
      <c r="F119" s="40" t="str">
        <f>IF(A119="","",SUMIFS('固定支出'!$C:$C,'固定支出'!$G:$G,"是",'固定支出'!$D:$D,A119))</f>
        <v/>
      </c>
      <c r="G119" s="40" t="str">
        <f>IF(A119="","",SUMIFS('收支明細'!$E:$E,'收支明細'!$B:$B,"支出",'收支明細'!$A:$A,A119))</f>
        <v/>
      </c>
      <c r="H119" s="40" t="str">
        <f>IF(OR(A119="",A119&lt;'月度總覽'!$F$6),0,'月度總覽'!$F$13)</f>
        <v>0.00</v>
      </c>
      <c r="I119" s="40" t="str">
        <f t="shared" si="2"/>
        <v/>
      </c>
      <c r="J119" s="40" t="str">
        <f>IF(OR(A119="",A119&lt;'月度總覽'!$F$6),"",'月度總覽'!$F$12-SUM($H$5:H119)+IF(AND('月度總覽'!$B$10="到帳日自動計入",'月度總覽'!$B$8&gt;'月度總覽'!$B$7,'月度總覽'!$B$8&lt;=A119),'月度總覽'!$B$9,0)+SUMIFS($E$5:E119,$A$5:A119,"&gt;"&amp;'月度總覽'!$B$7)-SUMIFS($G$5:G119,$A$5:A119,"&gt;"&amp;'月度總覽'!$B$7))</f>
        <v/>
      </c>
    </row>
    <row r="120" ht="15.75" customHeight="1">
      <c r="A120" s="39" t="str">
        <f>IF(116&lt;='月度總覽'!$F$5,'月度總覽'!$B$5+116-1,"")</f>
        <v/>
      </c>
      <c r="B120" t="str">
        <f t="shared" si="1"/>
        <v/>
      </c>
      <c r="C120" t="str">
        <f>IF(A120="","",IF(A120&lt;'月度總覽'!$F$6,"已過",IF(A120='月度總覽'!$F$6,"基準日","未來")))</f>
        <v/>
      </c>
      <c r="D120" s="40" t="str">
        <f>IF(A120="","",IF(A120='月度總覽'!$B$8,'月度總覽'!$B$9,0))</f>
        <v/>
      </c>
      <c r="E120" s="40" t="str">
        <f>IF(A120="","",SUMIFS('收支明細'!$E:$E,'收支明細'!$B:$B,"收入",'收支明細'!$A:$A,A120))</f>
        <v/>
      </c>
      <c r="F120" s="40" t="str">
        <f>IF(A120="","",SUMIFS('固定支出'!$C:$C,'固定支出'!$G:$G,"是",'固定支出'!$D:$D,A120))</f>
        <v/>
      </c>
      <c r="G120" s="40" t="str">
        <f>IF(A120="","",SUMIFS('收支明細'!$E:$E,'收支明細'!$B:$B,"支出",'收支明細'!$A:$A,A120))</f>
        <v/>
      </c>
      <c r="H120" s="40" t="str">
        <f>IF(OR(A120="",A120&lt;'月度總覽'!$F$6),0,'月度總覽'!$F$13)</f>
        <v>0.00</v>
      </c>
      <c r="I120" s="40" t="str">
        <f t="shared" si="2"/>
        <v/>
      </c>
      <c r="J120" s="40" t="str">
        <f>IF(OR(A120="",A120&lt;'月度總覽'!$F$6),"",'月度總覽'!$F$12-SUM($H$5:H120)+IF(AND('月度總覽'!$B$10="到帳日自動計入",'月度總覽'!$B$8&gt;'月度總覽'!$B$7,'月度總覽'!$B$8&lt;=A120),'月度總覽'!$B$9,0)+SUMIFS($E$5:E120,$A$5:A120,"&gt;"&amp;'月度總覽'!$B$7)-SUMIFS($G$5:G120,$A$5:A120,"&gt;"&amp;'月度總覽'!$B$7))</f>
        <v/>
      </c>
    </row>
    <row r="121" ht="15.75" customHeight="1">
      <c r="A121" s="39" t="str">
        <f>IF(117&lt;='月度總覽'!$F$5,'月度總覽'!$B$5+117-1,"")</f>
        <v/>
      </c>
      <c r="B121" t="str">
        <f t="shared" si="1"/>
        <v/>
      </c>
      <c r="C121" t="str">
        <f>IF(A121="","",IF(A121&lt;'月度總覽'!$F$6,"已過",IF(A121='月度總覽'!$F$6,"基準日","未來")))</f>
        <v/>
      </c>
      <c r="D121" s="40" t="str">
        <f>IF(A121="","",IF(A121='月度總覽'!$B$8,'月度總覽'!$B$9,0))</f>
        <v/>
      </c>
      <c r="E121" s="40" t="str">
        <f>IF(A121="","",SUMIFS('收支明細'!$E:$E,'收支明細'!$B:$B,"收入",'收支明細'!$A:$A,A121))</f>
        <v/>
      </c>
      <c r="F121" s="40" t="str">
        <f>IF(A121="","",SUMIFS('固定支出'!$C:$C,'固定支出'!$G:$G,"是",'固定支出'!$D:$D,A121))</f>
        <v/>
      </c>
      <c r="G121" s="40" t="str">
        <f>IF(A121="","",SUMIFS('收支明細'!$E:$E,'收支明細'!$B:$B,"支出",'收支明細'!$A:$A,A121))</f>
        <v/>
      </c>
      <c r="H121" s="40" t="str">
        <f>IF(OR(A121="",A121&lt;'月度總覽'!$F$6),0,'月度總覽'!$F$13)</f>
        <v>0.00</v>
      </c>
      <c r="I121" s="40" t="str">
        <f t="shared" si="2"/>
        <v/>
      </c>
      <c r="J121" s="40" t="str">
        <f>IF(OR(A121="",A121&lt;'月度總覽'!$F$6),"",'月度總覽'!$F$12-SUM($H$5:H121)+IF(AND('月度總覽'!$B$10="到帳日自動計入",'月度總覽'!$B$8&gt;'月度總覽'!$B$7,'月度總覽'!$B$8&lt;=A121),'月度總覽'!$B$9,0)+SUMIFS($E$5:E121,$A$5:A121,"&gt;"&amp;'月度總覽'!$B$7)-SUMIFS($G$5:G121,$A$5:A121,"&gt;"&amp;'月度總覽'!$B$7))</f>
        <v/>
      </c>
    </row>
    <row r="122" ht="15.75" customHeight="1">
      <c r="A122" s="39" t="str">
        <f>IF(118&lt;='月度總覽'!$F$5,'月度總覽'!$B$5+118-1,"")</f>
        <v/>
      </c>
      <c r="B122" t="str">
        <f t="shared" si="1"/>
        <v/>
      </c>
      <c r="C122" t="str">
        <f>IF(A122="","",IF(A122&lt;'月度總覽'!$F$6,"已過",IF(A122='月度總覽'!$F$6,"基準日","未來")))</f>
        <v/>
      </c>
      <c r="D122" s="40" t="str">
        <f>IF(A122="","",IF(A122='月度總覽'!$B$8,'月度總覽'!$B$9,0))</f>
        <v/>
      </c>
      <c r="E122" s="40" t="str">
        <f>IF(A122="","",SUMIFS('收支明細'!$E:$E,'收支明細'!$B:$B,"收入",'收支明細'!$A:$A,A122))</f>
        <v/>
      </c>
      <c r="F122" s="40" t="str">
        <f>IF(A122="","",SUMIFS('固定支出'!$C:$C,'固定支出'!$G:$G,"是",'固定支出'!$D:$D,A122))</f>
        <v/>
      </c>
      <c r="G122" s="40" t="str">
        <f>IF(A122="","",SUMIFS('收支明細'!$E:$E,'收支明細'!$B:$B,"支出",'收支明細'!$A:$A,A122))</f>
        <v/>
      </c>
      <c r="H122" s="40" t="str">
        <f>IF(OR(A122="",A122&lt;'月度總覽'!$F$6),0,'月度總覽'!$F$13)</f>
        <v>0.00</v>
      </c>
      <c r="I122" s="40" t="str">
        <f t="shared" si="2"/>
        <v/>
      </c>
      <c r="J122" s="40" t="str">
        <f>IF(OR(A122="",A122&lt;'月度總覽'!$F$6),"",'月度總覽'!$F$12-SUM($H$5:H122)+IF(AND('月度總覽'!$B$10="到帳日自動計入",'月度總覽'!$B$8&gt;'月度總覽'!$B$7,'月度總覽'!$B$8&lt;=A122),'月度總覽'!$B$9,0)+SUMIFS($E$5:E122,$A$5:A122,"&gt;"&amp;'月度總覽'!$B$7)-SUMIFS($G$5:G122,$A$5:A122,"&gt;"&amp;'月度總覽'!$B$7))</f>
        <v/>
      </c>
    </row>
    <row r="123" ht="15.75" customHeight="1">
      <c r="A123" s="39" t="str">
        <f>IF(119&lt;='月度總覽'!$F$5,'月度總覽'!$B$5+119-1,"")</f>
        <v/>
      </c>
      <c r="B123" t="str">
        <f t="shared" si="1"/>
        <v/>
      </c>
      <c r="C123" t="str">
        <f>IF(A123="","",IF(A123&lt;'月度總覽'!$F$6,"已過",IF(A123='月度總覽'!$F$6,"基準日","未來")))</f>
        <v/>
      </c>
      <c r="D123" s="40" t="str">
        <f>IF(A123="","",IF(A123='月度總覽'!$B$8,'月度總覽'!$B$9,0))</f>
        <v/>
      </c>
      <c r="E123" s="40" t="str">
        <f>IF(A123="","",SUMIFS('收支明細'!$E:$E,'收支明細'!$B:$B,"收入",'收支明細'!$A:$A,A123))</f>
        <v/>
      </c>
      <c r="F123" s="40" t="str">
        <f>IF(A123="","",SUMIFS('固定支出'!$C:$C,'固定支出'!$G:$G,"是",'固定支出'!$D:$D,A123))</f>
        <v/>
      </c>
      <c r="G123" s="40" t="str">
        <f>IF(A123="","",SUMIFS('收支明細'!$E:$E,'收支明細'!$B:$B,"支出",'收支明細'!$A:$A,A123))</f>
        <v/>
      </c>
      <c r="H123" s="40" t="str">
        <f>IF(OR(A123="",A123&lt;'月度總覽'!$F$6),0,'月度總覽'!$F$13)</f>
        <v>0.00</v>
      </c>
      <c r="I123" s="40" t="str">
        <f t="shared" si="2"/>
        <v/>
      </c>
      <c r="J123" s="40" t="str">
        <f>IF(OR(A123="",A123&lt;'月度總覽'!$F$6),"",'月度總覽'!$F$12-SUM($H$5:H123)+IF(AND('月度總覽'!$B$10="到帳日自動計入",'月度總覽'!$B$8&gt;'月度總覽'!$B$7,'月度總覽'!$B$8&lt;=A123),'月度總覽'!$B$9,0)+SUMIFS($E$5:E123,$A$5:A123,"&gt;"&amp;'月度總覽'!$B$7)-SUMIFS($G$5:G123,$A$5:A123,"&gt;"&amp;'月度總覽'!$B$7))</f>
        <v/>
      </c>
    </row>
    <row r="124" ht="15.75" customHeight="1">
      <c r="A124" s="39" t="str">
        <f>IF(120&lt;='月度總覽'!$F$5,'月度總覽'!$B$5+120-1,"")</f>
        <v/>
      </c>
      <c r="B124" t="str">
        <f t="shared" si="1"/>
        <v/>
      </c>
      <c r="C124" t="str">
        <f>IF(A124="","",IF(A124&lt;'月度總覽'!$F$6,"已過",IF(A124='月度總覽'!$F$6,"基準日","未來")))</f>
        <v/>
      </c>
      <c r="D124" s="40" t="str">
        <f>IF(A124="","",IF(A124='月度總覽'!$B$8,'月度總覽'!$B$9,0))</f>
        <v/>
      </c>
      <c r="E124" s="40" t="str">
        <f>IF(A124="","",SUMIFS('收支明細'!$E:$E,'收支明細'!$B:$B,"收入",'收支明細'!$A:$A,A124))</f>
        <v/>
      </c>
      <c r="F124" s="40" t="str">
        <f>IF(A124="","",SUMIFS('固定支出'!$C:$C,'固定支出'!$G:$G,"是",'固定支出'!$D:$D,A124))</f>
        <v/>
      </c>
      <c r="G124" s="40" t="str">
        <f>IF(A124="","",SUMIFS('收支明細'!$E:$E,'收支明細'!$B:$B,"支出",'收支明細'!$A:$A,A124))</f>
        <v/>
      </c>
      <c r="H124" s="40" t="str">
        <f>IF(OR(A124="",A124&lt;'月度總覽'!$F$6),0,'月度總覽'!$F$13)</f>
        <v>0.00</v>
      </c>
      <c r="I124" s="40" t="str">
        <f t="shared" si="2"/>
        <v/>
      </c>
      <c r="J124" s="40" t="str">
        <f>IF(OR(A124="",A124&lt;'月度總覽'!$F$6),"",'月度總覽'!$F$12-SUM($H$5:H124)+IF(AND('月度總覽'!$B$10="到帳日自動計入",'月度總覽'!$B$8&gt;'月度總覽'!$B$7,'月度總覽'!$B$8&lt;=A124),'月度總覽'!$B$9,0)+SUMIFS($E$5:E124,$A$5:A124,"&gt;"&amp;'月度總覽'!$B$7)-SUMIFS($G$5:G124,$A$5:A124,"&gt;"&amp;'月度總覽'!$B$7))</f>
        <v/>
      </c>
    </row>
    <row r="125" ht="15.75" customHeight="1">
      <c r="A125" s="39" t="str">
        <f>IF(121&lt;='月度總覽'!$F$5,'月度總覽'!$B$5+121-1,"")</f>
        <v/>
      </c>
      <c r="B125" t="str">
        <f t="shared" si="1"/>
        <v/>
      </c>
      <c r="C125" t="str">
        <f>IF(A125="","",IF(A125&lt;'月度總覽'!$F$6,"已過",IF(A125='月度總覽'!$F$6,"基準日","未來")))</f>
        <v/>
      </c>
      <c r="D125" s="40" t="str">
        <f>IF(A125="","",IF(A125='月度總覽'!$B$8,'月度總覽'!$B$9,0))</f>
        <v/>
      </c>
      <c r="E125" s="40" t="str">
        <f>IF(A125="","",SUMIFS('收支明細'!$E:$E,'收支明細'!$B:$B,"收入",'收支明細'!$A:$A,A125))</f>
        <v/>
      </c>
      <c r="F125" s="40" t="str">
        <f>IF(A125="","",SUMIFS('固定支出'!$C:$C,'固定支出'!$G:$G,"是",'固定支出'!$D:$D,A125))</f>
        <v/>
      </c>
      <c r="G125" s="40" t="str">
        <f>IF(A125="","",SUMIFS('收支明細'!$E:$E,'收支明細'!$B:$B,"支出",'收支明細'!$A:$A,A125))</f>
        <v/>
      </c>
      <c r="H125" s="40" t="str">
        <f>IF(OR(A125="",A125&lt;'月度總覽'!$F$6),0,'月度總覽'!$F$13)</f>
        <v>0.00</v>
      </c>
      <c r="I125" s="40" t="str">
        <f t="shared" si="2"/>
        <v/>
      </c>
      <c r="J125" s="40" t="str">
        <f>IF(OR(A125="",A125&lt;'月度總覽'!$F$6),"",'月度總覽'!$F$12-SUM($H$5:H125)+IF(AND('月度總覽'!$B$10="到帳日自動計入",'月度總覽'!$B$8&gt;'月度總覽'!$B$7,'月度總覽'!$B$8&lt;=A125),'月度總覽'!$B$9,0)+SUMIFS($E$5:E125,$A$5:A125,"&gt;"&amp;'月度總覽'!$B$7)-SUMIFS($G$5:G125,$A$5:A125,"&gt;"&amp;'月度總覽'!$B$7))</f>
        <v/>
      </c>
    </row>
    <row r="126" ht="15.75" customHeight="1">
      <c r="A126" s="39" t="str">
        <f>IF(122&lt;='月度總覽'!$F$5,'月度總覽'!$B$5+122-1,"")</f>
        <v/>
      </c>
      <c r="B126" t="str">
        <f t="shared" si="1"/>
        <v/>
      </c>
      <c r="C126" t="str">
        <f>IF(A126="","",IF(A126&lt;'月度總覽'!$F$6,"已過",IF(A126='月度總覽'!$F$6,"基準日","未來")))</f>
        <v/>
      </c>
      <c r="D126" s="40" t="str">
        <f>IF(A126="","",IF(A126='月度總覽'!$B$8,'月度總覽'!$B$9,0))</f>
        <v/>
      </c>
      <c r="E126" s="40" t="str">
        <f>IF(A126="","",SUMIFS('收支明細'!$E:$E,'收支明細'!$B:$B,"收入",'收支明細'!$A:$A,A126))</f>
        <v/>
      </c>
      <c r="F126" s="40" t="str">
        <f>IF(A126="","",SUMIFS('固定支出'!$C:$C,'固定支出'!$G:$G,"是",'固定支出'!$D:$D,A126))</f>
        <v/>
      </c>
      <c r="G126" s="40" t="str">
        <f>IF(A126="","",SUMIFS('收支明細'!$E:$E,'收支明細'!$B:$B,"支出",'收支明細'!$A:$A,A126))</f>
        <v/>
      </c>
      <c r="H126" s="40" t="str">
        <f>IF(OR(A126="",A126&lt;'月度總覽'!$F$6),0,'月度總覽'!$F$13)</f>
        <v>0.00</v>
      </c>
      <c r="I126" s="40" t="str">
        <f t="shared" si="2"/>
        <v/>
      </c>
      <c r="J126" s="40" t="str">
        <f>IF(OR(A126="",A126&lt;'月度總覽'!$F$6),"",'月度總覽'!$F$12-SUM($H$5:H126)+IF(AND('月度總覽'!$B$10="到帳日自動計入",'月度總覽'!$B$8&gt;'月度總覽'!$B$7,'月度總覽'!$B$8&lt;=A126),'月度總覽'!$B$9,0)+SUMIFS($E$5:E126,$A$5:A126,"&gt;"&amp;'月度總覽'!$B$7)-SUMIFS($G$5:G126,$A$5:A126,"&gt;"&amp;'月度總覽'!$B$7))</f>
        <v/>
      </c>
    </row>
    <row r="127" ht="15.75" customHeight="1">
      <c r="A127" s="39" t="str">
        <f>IF(123&lt;='月度總覽'!$F$5,'月度總覽'!$B$5+123-1,"")</f>
        <v/>
      </c>
      <c r="B127" t="str">
        <f t="shared" si="1"/>
        <v/>
      </c>
      <c r="C127" t="str">
        <f>IF(A127="","",IF(A127&lt;'月度總覽'!$F$6,"已過",IF(A127='月度總覽'!$F$6,"基準日","未來")))</f>
        <v/>
      </c>
      <c r="D127" s="40" t="str">
        <f>IF(A127="","",IF(A127='月度總覽'!$B$8,'月度總覽'!$B$9,0))</f>
        <v/>
      </c>
      <c r="E127" s="40" t="str">
        <f>IF(A127="","",SUMIFS('收支明細'!$E:$E,'收支明細'!$B:$B,"收入",'收支明細'!$A:$A,A127))</f>
        <v/>
      </c>
      <c r="F127" s="40" t="str">
        <f>IF(A127="","",SUMIFS('固定支出'!$C:$C,'固定支出'!$G:$G,"是",'固定支出'!$D:$D,A127))</f>
        <v/>
      </c>
      <c r="G127" s="40" t="str">
        <f>IF(A127="","",SUMIFS('收支明細'!$E:$E,'收支明細'!$B:$B,"支出",'收支明細'!$A:$A,A127))</f>
        <v/>
      </c>
      <c r="H127" s="40" t="str">
        <f>IF(OR(A127="",A127&lt;'月度總覽'!$F$6),0,'月度總覽'!$F$13)</f>
        <v>0.00</v>
      </c>
      <c r="I127" s="40" t="str">
        <f t="shared" si="2"/>
        <v/>
      </c>
      <c r="J127" s="40" t="str">
        <f>IF(OR(A127="",A127&lt;'月度總覽'!$F$6),"",'月度總覽'!$F$12-SUM($H$5:H127)+IF(AND('月度總覽'!$B$10="到帳日自動計入",'月度總覽'!$B$8&gt;'月度總覽'!$B$7,'月度總覽'!$B$8&lt;=A127),'月度總覽'!$B$9,0)+SUMIFS($E$5:E127,$A$5:A127,"&gt;"&amp;'月度總覽'!$B$7)-SUMIFS($G$5:G127,$A$5:A127,"&gt;"&amp;'月度總覽'!$B$7))</f>
        <v/>
      </c>
    </row>
    <row r="128" ht="15.75" customHeight="1">
      <c r="A128" s="39" t="str">
        <f>IF(124&lt;='月度總覽'!$F$5,'月度總覽'!$B$5+124-1,"")</f>
        <v/>
      </c>
      <c r="B128" t="str">
        <f t="shared" si="1"/>
        <v/>
      </c>
      <c r="C128" t="str">
        <f>IF(A128="","",IF(A128&lt;'月度總覽'!$F$6,"已過",IF(A128='月度總覽'!$F$6,"基準日","未來")))</f>
        <v/>
      </c>
      <c r="D128" s="40" t="str">
        <f>IF(A128="","",IF(A128='月度總覽'!$B$8,'月度總覽'!$B$9,0))</f>
        <v/>
      </c>
      <c r="E128" s="40" t="str">
        <f>IF(A128="","",SUMIFS('收支明細'!$E:$E,'收支明細'!$B:$B,"收入",'收支明細'!$A:$A,A128))</f>
        <v/>
      </c>
      <c r="F128" s="40" t="str">
        <f>IF(A128="","",SUMIFS('固定支出'!$C:$C,'固定支出'!$G:$G,"是",'固定支出'!$D:$D,A128))</f>
        <v/>
      </c>
      <c r="G128" s="40" t="str">
        <f>IF(A128="","",SUMIFS('收支明細'!$E:$E,'收支明細'!$B:$B,"支出",'收支明細'!$A:$A,A128))</f>
        <v/>
      </c>
      <c r="H128" s="40" t="str">
        <f>IF(OR(A128="",A128&lt;'月度總覽'!$F$6),0,'月度總覽'!$F$13)</f>
        <v>0.00</v>
      </c>
      <c r="I128" s="40" t="str">
        <f t="shared" si="2"/>
        <v/>
      </c>
      <c r="J128" s="40" t="str">
        <f>IF(OR(A128="",A128&lt;'月度總覽'!$F$6),"",'月度總覽'!$F$12-SUM($H$5:H128)+IF(AND('月度總覽'!$B$10="到帳日自動計入",'月度總覽'!$B$8&gt;'月度總覽'!$B$7,'月度總覽'!$B$8&lt;=A128),'月度總覽'!$B$9,0)+SUMIFS($E$5:E128,$A$5:A128,"&gt;"&amp;'月度總覽'!$B$7)-SUMIFS($G$5:G128,$A$5:A128,"&gt;"&amp;'月度總覽'!$B$7))</f>
        <v/>
      </c>
    </row>
    <row r="129" ht="15.75" customHeight="1">
      <c r="A129" s="39" t="str">
        <f>IF(125&lt;='月度總覽'!$F$5,'月度總覽'!$B$5+125-1,"")</f>
        <v/>
      </c>
      <c r="B129" t="str">
        <f t="shared" si="1"/>
        <v/>
      </c>
      <c r="C129" t="str">
        <f>IF(A129="","",IF(A129&lt;'月度總覽'!$F$6,"已過",IF(A129='月度總覽'!$F$6,"基準日","未來")))</f>
        <v/>
      </c>
      <c r="D129" s="40" t="str">
        <f>IF(A129="","",IF(A129='月度總覽'!$B$8,'月度總覽'!$B$9,0))</f>
        <v/>
      </c>
      <c r="E129" s="40" t="str">
        <f>IF(A129="","",SUMIFS('收支明細'!$E:$E,'收支明細'!$B:$B,"收入",'收支明細'!$A:$A,A129))</f>
        <v/>
      </c>
      <c r="F129" s="40" t="str">
        <f>IF(A129="","",SUMIFS('固定支出'!$C:$C,'固定支出'!$G:$G,"是",'固定支出'!$D:$D,A129))</f>
        <v/>
      </c>
      <c r="G129" s="40" t="str">
        <f>IF(A129="","",SUMIFS('收支明細'!$E:$E,'收支明細'!$B:$B,"支出",'收支明細'!$A:$A,A129))</f>
        <v/>
      </c>
      <c r="H129" s="40" t="str">
        <f>IF(OR(A129="",A129&lt;'月度總覽'!$F$6),0,'月度總覽'!$F$13)</f>
        <v>0.00</v>
      </c>
      <c r="I129" s="40" t="str">
        <f t="shared" si="2"/>
        <v/>
      </c>
      <c r="J129" s="40" t="str">
        <f>IF(OR(A129="",A129&lt;'月度總覽'!$F$6),"",'月度總覽'!$F$12-SUM($H$5:H129)+IF(AND('月度總覽'!$B$10="到帳日自動計入",'月度總覽'!$B$8&gt;'月度總覽'!$B$7,'月度總覽'!$B$8&lt;=A129),'月度總覽'!$B$9,0)+SUMIFS($E$5:E129,$A$5:A129,"&gt;"&amp;'月度總覽'!$B$7)-SUMIFS($G$5:G129,$A$5:A129,"&gt;"&amp;'月度總覽'!$B$7))</f>
        <v/>
      </c>
    </row>
    <row r="130" ht="15.75" customHeight="1">
      <c r="A130" s="39" t="str">
        <f>IF(126&lt;='月度總覽'!$F$5,'月度總覽'!$B$5+126-1,"")</f>
        <v/>
      </c>
      <c r="B130" t="str">
        <f t="shared" si="1"/>
        <v/>
      </c>
      <c r="C130" t="str">
        <f>IF(A130="","",IF(A130&lt;'月度總覽'!$F$6,"已過",IF(A130='月度總覽'!$F$6,"基準日","未來")))</f>
        <v/>
      </c>
      <c r="D130" s="40" t="str">
        <f>IF(A130="","",IF(A130='月度總覽'!$B$8,'月度總覽'!$B$9,0))</f>
        <v/>
      </c>
      <c r="E130" s="40" t="str">
        <f>IF(A130="","",SUMIFS('收支明細'!$E:$E,'收支明細'!$B:$B,"收入",'收支明細'!$A:$A,A130))</f>
        <v/>
      </c>
      <c r="F130" s="40" t="str">
        <f>IF(A130="","",SUMIFS('固定支出'!$C:$C,'固定支出'!$G:$G,"是",'固定支出'!$D:$D,A130))</f>
        <v/>
      </c>
      <c r="G130" s="40" t="str">
        <f>IF(A130="","",SUMIFS('收支明細'!$E:$E,'收支明細'!$B:$B,"支出",'收支明細'!$A:$A,A130))</f>
        <v/>
      </c>
      <c r="H130" s="40" t="str">
        <f>IF(OR(A130="",A130&lt;'月度總覽'!$F$6),0,'月度總覽'!$F$13)</f>
        <v>0.00</v>
      </c>
      <c r="I130" s="40" t="str">
        <f t="shared" si="2"/>
        <v/>
      </c>
      <c r="J130" s="40" t="str">
        <f>IF(OR(A130="",A130&lt;'月度總覽'!$F$6),"",'月度總覽'!$F$12-SUM($H$5:H130)+IF(AND('月度總覽'!$B$10="到帳日自動計入",'月度總覽'!$B$8&gt;'月度總覽'!$B$7,'月度總覽'!$B$8&lt;=A130),'月度總覽'!$B$9,0)+SUMIFS($E$5:E130,$A$5:A130,"&gt;"&amp;'月度總覽'!$B$7)-SUMIFS($G$5:G130,$A$5:A130,"&gt;"&amp;'月度總覽'!$B$7))</f>
        <v/>
      </c>
    </row>
    <row r="131" ht="15.75" customHeight="1">
      <c r="A131" s="39" t="str">
        <f>IF(127&lt;='月度總覽'!$F$5,'月度總覽'!$B$5+127-1,"")</f>
        <v/>
      </c>
      <c r="B131" t="str">
        <f t="shared" si="1"/>
        <v/>
      </c>
      <c r="C131" t="str">
        <f>IF(A131="","",IF(A131&lt;'月度總覽'!$F$6,"已過",IF(A131='月度總覽'!$F$6,"基準日","未來")))</f>
        <v/>
      </c>
      <c r="D131" s="40" t="str">
        <f>IF(A131="","",IF(A131='月度總覽'!$B$8,'月度總覽'!$B$9,0))</f>
        <v/>
      </c>
      <c r="E131" s="40" t="str">
        <f>IF(A131="","",SUMIFS('收支明細'!$E:$E,'收支明細'!$B:$B,"收入",'收支明細'!$A:$A,A131))</f>
        <v/>
      </c>
      <c r="F131" s="40" t="str">
        <f>IF(A131="","",SUMIFS('固定支出'!$C:$C,'固定支出'!$G:$G,"是",'固定支出'!$D:$D,A131))</f>
        <v/>
      </c>
      <c r="G131" s="40" t="str">
        <f>IF(A131="","",SUMIFS('收支明細'!$E:$E,'收支明細'!$B:$B,"支出",'收支明細'!$A:$A,A131))</f>
        <v/>
      </c>
      <c r="H131" s="40" t="str">
        <f>IF(OR(A131="",A131&lt;'月度總覽'!$F$6),0,'月度總覽'!$F$13)</f>
        <v>0.00</v>
      </c>
      <c r="I131" s="40" t="str">
        <f t="shared" si="2"/>
        <v/>
      </c>
      <c r="J131" s="40" t="str">
        <f>IF(OR(A131="",A131&lt;'月度總覽'!$F$6),"",'月度總覽'!$F$12-SUM($H$5:H131)+IF(AND('月度總覽'!$B$10="到帳日自動計入",'月度總覽'!$B$8&gt;'月度總覽'!$B$7,'月度總覽'!$B$8&lt;=A131),'月度總覽'!$B$9,0)+SUMIFS($E$5:E131,$A$5:A131,"&gt;"&amp;'月度總覽'!$B$7)-SUMIFS($G$5:G131,$A$5:A131,"&gt;"&amp;'月度總覽'!$B$7))</f>
        <v/>
      </c>
    </row>
    <row r="132" ht="15.75" customHeight="1">
      <c r="A132" s="39" t="str">
        <f>IF(128&lt;='月度總覽'!$F$5,'月度總覽'!$B$5+128-1,"")</f>
        <v/>
      </c>
      <c r="B132" t="str">
        <f t="shared" si="1"/>
        <v/>
      </c>
      <c r="C132" t="str">
        <f>IF(A132="","",IF(A132&lt;'月度總覽'!$F$6,"已過",IF(A132='月度總覽'!$F$6,"基準日","未來")))</f>
        <v/>
      </c>
      <c r="D132" s="40" t="str">
        <f>IF(A132="","",IF(A132='月度總覽'!$B$8,'月度總覽'!$B$9,0))</f>
        <v/>
      </c>
      <c r="E132" s="40" t="str">
        <f>IF(A132="","",SUMIFS('收支明細'!$E:$E,'收支明細'!$B:$B,"收入",'收支明細'!$A:$A,A132))</f>
        <v/>
      </c>
      <c r="F132" s="40" t="str">
        <f>IF(A132="","",SUMIFS('固定支出'!$C:$C,'固定支出'!$G:$G,"是",'固定支出'!$D:$D,A132))</f>
        <v/>
      </c>
      <c r="G132" s="40" t="str">
        <f>IF(A132="","",SUMIFS('收支明細'!$E:$E,'收支明細'!$B:$B,"支出",'收支明細'!$A:$A,A132))</f>
        <v/>
      </c>
      <c r="H132" s="40" t="str">
        <f>IF(OR(A132="",A132&lt;'月度總覽'!$F$6),0,'月度總覽'!$F$13)</f>
        <v>0.00</v>
      </c>
      <c r="I132" s="40" t="str">
        <f t="shared" si="2"/>
        <v/>
      </c>
      <c r="J132" s="40" t="str">
        <f>IF(OR(A132="",A132&lt;'月度總覽'!$F$6),"",'月度總覽'!$F$12-SUM($H$5:H132)+IF(AND('月度總覽'!$B$10="到帳日自動計入",'月度總覽'!$B$8&gt;'月度總覽'!$B$7,'月度總覽'!$B$8&lt;=A132),'月度總覽'!$B$9,0)+SUMIFS($E$5:E132,$A$5:A132,"&gt;"&amp;'月度總覽'!$B$7)-SUMIFS($G$5:G132,$A$5:A132,"&gt;"&amp;'月度總覽'!$B$7))</f>
        <v/>
      </c>
    </row>
    <row r="133" ht="15.75" customHeight="1">
      <c r="A133" s="39" t="str">
        <f>IF(129&lt;='月度總覽'!$F$5,'月度總覽'!$B$5+129-1,"")</f>
        <v/>
      </c>
      <c r="B133" t="str">
        <f t="shared" si="1"/>
        <v/>
      </c>
      <c r="C133" t="str">
        <f>IF(A133="","",IF(A133&lt;'月度總覽'!$F$6,"已過",IF(A133='月度總覽'!$F$6,"基準日","未來")))</f>
        <v/>
      </c>
      <c r="D133" s="40" t="str">
        <f>IF(A133="","",IF(A133='月度總覽'!$B$8,'月度總覽'!$B$9,0))</f>
        <v/>
      </c>
      <c r="E133" s="40" t="str">
        <f>IF(A133="","",SUMIFS('收支明細'!$E:$E,'收支明細'!$B:$B,"收入",'收支明細'!$A:$A,A133))</f>
        <v/>
      </c>
      <c r="F133" s="40" t="str">
        <f>IF(A133="","",SUMIFS('固定支出'!$C:$C,'固定支出'!$G:$G,"是",'固定支出'!$D:$D,A133))</f>
        <v/>
      </c>
      <c r="G133" s="40" t="str">
        <f>IF(A133="","",SUMIFS('收支明細'!$E:$E,'收支明細'!$B:$B,"支出",'收支明細'!$A:$A,A133))</f>
        <v/>
      </c>
      <c r="H133" s="40" t="str">
        <f>IF(OR(A133="",A133&lt;'月度總覽'!$F$6),0,'月度總覽'!$F$13)</f>
        <v>0.00</v>
      </c>
      <c r="I133" s="40" t="str">
        <f t="shared" si="2"/>
        <v/>
      </c>
      <c r="J133" s="40" t="str">
        <f>IF(OR(A133="",A133&lt;'月度總覽'!$F$6),"",'月度總覽'!$F$12-SUM($H$5:H133)+IF(AND('月度總覽'!$B$10="到帳日自動計入",'月度總覽'!$B$8&gt;'月度總覽'!$B$7,'月度總覽'!$B$8&lt;=A133),'月度總覽'!$B$9,0)+SUMIFS($E$5:E133,$A$5:A133,"&gt;"&amp;'月度總覽'!$B$7)-SUMIFS($G$5:G133,$A$5:A133,"&gt;"&amp;'月度總覽'!$B$7))</f>
        <v/>
      </c>
    </row>
    <row r="134" ht="15.75" customHeight="1">
      <c r="A134" s="39" t="str">
        <f>IF(130&lt;='月度總覽'!$F$5,'月度總覽'!$B$5+130-1,"")</f>
        <v/>
      </c>
      <c r="B134" t="str">
        <f t="shared" si="1"/>
        <v/>
      </c>
      <c r="C134" t="str">
        <f>IF(A134="","",IF(A134&lt;'月度總覽'!$F$6,"已過",IF(A134='月度總覽'!$F$6,"基準日","未來")))</f>
        <v/>
      </c>
      <c r="D134" s="40" t="str">
        <f>IF(A134="","",IF(A134='月度總覽'!$B$8,'月度總覽'!$B$9,0))</f>
        <v/>
      </c>
      <c r="E134" s="40" t="str">
        <f>IF(A134="","",SUMIFS('收支明細'!$E:$E,'收支明細'!$B:$B,"收入",'收支明細'!$A:$A,A134))</f>
        <v/>
      </c>
      <c r="F134" s="40" t="str">
        <f>IF(A134="","",SUMIFS('固定支出'!$C:$C,'固定支出'!$G:$G,"是",'固定支出'!$D:$D,A134))</f>
        <v/>
      </c>
      <c r="G134" s="40" t="str">
        <f>IF(A134="","",SUMIFS('收支明細'!$E:$E,'收支明細'!$B:$B,"支出",'收支明細'!$A:$A,A134))</f>
        <v/>
      </c>
      <c r="H134" s="40" t="str">
        <f>IF(OR(A134="",A134&lt;'月度總覽'!$F$6),0,'月度總覽'!$F$13)</f>
        <v>0.00</v>
      </c>
      <c r="I134" s="40" t="str">
        <f t="shared" si="2"/>
        <v/>
      </c>
      <c r="J134" s="40" t="str">
        <f>IF(OR(A134="",A134&lt;'月度總覽'!$F$6),"",'月度總覽'!$F$12-SUM($H$5:H134)+IF(AND('月度總覽'!$B$10="到帳日自動計入",'月度總覽'!$B$8&gt;'月度總覽'!$B$7,'月度總覽'!$B$8&lt;=A134),'月度總覽'!$B$9,0)+SUMIFS($E$5:E134,$A$5:A134,"&gt;"&amp;'月度總覽'!$B$7)-SUMIFS($G$5:G134,$A$5:A134,"&gt;"&amp;'月度總覽'!$B$7))</f>
        <v/>
      </c>
    </row>
    <row r="135" ht="15.75" customHeight="1">
      <c r="A135" s="39" t="str">
        <f>IF(131&lt;='月度總覽'!$F$5,'月度總覽'!$B$5+131-1,"")</f>
        <v/>
      </c>
      <c r="B135" t="str">
        <f t="shared" si="1"/>
        <v/>
      </c>
      <c r="C135" t="str">
        <f>IF(A135="","",IF(A135&lt;'月度總覽'!$F$6,"已過",IF(A135='月度總覽'!$F$6,"基準日","未來")))</f>
        <v/>
      </c>
      <c r="D135" s="40" t="str">
        <f>IF(A135="","",IF(A135='月度總覽'!$B$8,'月度總覽'!$B$9,0))</f>
        <v/>
      </c>
      <c r="E135" s="40" t="str">
        <f>IF(A135="","",SUMIFS('收支明細'!$E:$E,'收支明細'!$B:$B,"收入",'收支明細'!$A:$A,A135))</f>
        <v/>
      </c>
      <c r="F135" s="40" t="str">
        <f>IF(A135="","",SUMIFS('固定支出'!$C:$C,'固定支出'!$G:$G,"是",'固定支出'!$D:$D,A135))</f>
        <v/>
      </c>
      <c r="G135" s="40" t="str">
        <f>IF(A135="","",SUMIFS('收支明細'!$E:$E,'收支明細'!$B:$B,"支出",'收支明細'!$A:$A,A135))</f>
        <v/>
      </c>
      <c r="H135" s="40" t="str">
        <f>IF(OR(A135="",A135&lt;'月度總覽'!$F$6),0,'月度總覽'!$F$13)</f>
        <v>0.00</v>
      </c>
      <c r="I135" s="40" t="str">
        <f t="shared" si="2"/>
        <v/>
      </c>
      <c r="J135" s="40" t="str">
        <f>IF(OR(A135="",A135&lt;'月度總覽'!$F$6),"",'月度總覽'!$F$12-SUM($H$5:H135)+IF(AND('月度總覽'!$B$10="到帳日自動計入",'月度總覽'!$B$8&gt;'月度總覽'!$B$7,'月度總覽'!$B$8&lt;=A135),'月度總覽'!$B$9,0)+SUMIFS($E$5:E135,$A$5:A135,"&gt;"&amp;'月度總覽'!$B$7)-SUMIFS($G$5:G135,$A$5:A135,"&gt;"&amp;'月度總覽'!$B$7))</f>
        <v/>
      </c>
    </row>
    <row r="136" ht="15.75" customHeight="1">
      <c r="A136" s="39" t="str">
        <f>IF(132&lt;='月度總覽'!$F$5,'月度總覽'!$B$5+132-1,"")</f>
        <v/>
      </c>
      <c r="B136" t="str">
        <f t="shared" si="1"/>
        <v/>
      </c>
      <c r="C136" t="str">
        <f>IF(A136="","",IF(A136&lt;'月度總覽'!$F$6,"已過",IF(A136='月度總覽'!$F$6,"基準日","未來")))</f>
        <v/>
      </c>
      <c r="D136" s="40" t="str">
        <f>IF(A136="","",IF(A136='月度總覽'!$B$8,'月度總覽'!$B$9,0))</f>
        <v/>
      </c>
      <c r="E136" s="40" t="str">
        <f>IF(A136="","",SUMIFS('收支明細'!$E:$E,'收支明細'!$B:$B,"收入",'收支明細'!$A:$A,A136))</f>
        <v/>
      </c>
      <c r="F136" s="40" t="str">
        <f>IF(A136="","",SUMIFS('固定支出'!$C:$C,'固定支出'!$G:$G,"是",'固定支出'!$D:$D,A136))</f>
        <v/>
      </c>
      <c r="G136" s="40" t="str">
        <f>IF(A136="","",SUMIFS('收支明細'!$E:$E,'收支明細'!$B:$B,"支出",'收支明細'!$A:$A,A136))</f>
        <v/>
      </c>
      <c r="H136" s="40" t="str">
        <f>IF(OR(A136="",A136&lt;'月度總覽'!$F$6),0,'月度總覽'!$F$13)</f>
        <v>0.00</v>
      </c>
      <c r="I136" s="40" t="str">
        <f t="shared" si="2"/>
        <v/>
      </c>
      <c r="J136" s="40" t="str">
        <f>IF(OR(A136="",A136&lt;'月度總覽'!$F$6),"",'月度總覽'!$F$12-SUM($H$5:H136)+IF(AND('月度總覽'!$B$10="到帳日自動計入",'月度總覽'!$B$8&gt;'月度總覽'!$B$7,'月度總覽'!$B$8&lt;=A136),'月度總覽'!$B$9,0)+SUMIFS($E$5:E136,$A$5:A136,"&gt;"&amp;'月度總覽'!$B$7)-SUMIFS($G$5:G136,$A$5:A136,"&gt;"&amp;'月度總覽'!$B$7))</f>
        <v/>
      </c>
    </row>
    <row r="137" ht="15.75" customHeight="1">
      <c r="A137" s="39" t="str">
        <f>IF(133&lt;='月度總覽'!$F$5,'月度總覽'!$B$5+133-1,"")</f>
        <v/>
      </c>
      <c r="B137" t="str">
        <f t="shared" si="1"/>
        <v/>
      </c>
      <c r="C137" t="str">
        <f>IF(A137="","",IF(A137&lt;'月度總覽'!$F$6,"已過",IF(A137='月度總覽'!$F$6,"基準日","未來")))</f>
        <v/>
      </c>
      <c r="D137" s="40" t="str">
        <f>IF(A137="","",IF(A137='月度總覽'!$B$8,'月度總覽'!$B$9,0))</f>
        <v/>
      </c>
      <c r="E137" s="40" t="str">
        <f>IF(A137="","",SUMIFS('收支明細'!$E:$E,'收支明細'!$B:$B,"收入",'收支明細'!$A:$A,A137))</f>
        <v/>
      </c>
      <c r="F137" s="40" t="str">
        <f>IF(A137="","",SUMIFS('固定支出'!$C:$C,'固定支出'!$G:$G,"是",'固定支出'!$D:$D,A137))</f>
        <v/>
      </c>
      <c r="G137" s="40" t="str">
        <f>IF(A137="","",SUMIFS('收支明細'!$E:$E,'收支明細'!$B:$B,"支出",'收支明細'!$A:$A,A137))</f>
        <v/>
      </c>
      <c r="H137" s="40" t="str">
        <f>IF(OR(A137="",A137&lt;'月度總覽'!$F$6),0,'月度總覽'!$F$13)</f>
        <v>0.00</v>
      </c>
      <c r="I137" s="40" t="str">
        <f t="shared" si="2"/>
        <v/>
      </c>
      <c r="J137" s="40" t="str">
        <f>IF(OR(A137="",A137&lt;'月度總覽'!$F$6),"",'月度總覽'!$F$12-SUM($H$5:H137)+IF(AND('月度總覽'!$B$10="到帳日自動計入",'月度總覽'!$B$8&gt;'月度總覽'!$B$7,'月度總覽'!$B$8&lt;=A137),'月度總覽'!$B$9,0)+SUMIFS($E$5:E137,$A$5:A137,"&gt;"&amp;'月度總覽'!$B$7)-SUMIFS($G$5:G137,$A$5:A137,"&gt;"&amp;'月度總覽'!$B$7))</f>
        <v/>
      </c>
    </row>
    <row r="138" ht="15.75" customHeight="1">
      <c r="A138" s="39" t="str">
        <f>IF(134&lt;='月度總覽'!$F$5,'月度總覽'!$B$5+134-1,"")</f>
        <v/>
      </c>
      <c r="B138" t="str">
        <f t="shared" si="1"/>
        <v/>
      </c>
      <c r="C138" t="str">
        <f>IF(A138="","",IF(A138&lt;'月度總覽'!$F$6,"已過",IF(A138='月度總覽'!$F$6,"基準日","未來")))</f>
        <v/>
      </c>
      <c r="D138" s="40" t="str">
        <f>IF(A138="","",IF(A138='月度總覽'!$B$8,'月度總覽'!$B$9,0))</f>
        <v/>
      </c>
      <c r="E138" s="40" t="str">
        <f>IF(A138="","",SUMIFS('收支明細'!$E:$E,'收支明細'!$B:$B,"收入",'收支明細'!$A:$A,A138))</f>
        <v/>
      </c>
      <c r="F138" s="40" t="str">
        <f>IF(A138="","",SUMIFS('固定支出'!$C:$C,'固定支出'!$G:$G,"是",'固定支出'!$D:$D,A138))</f>
        <v/>
      </c>
      <c r="G138" s="40" t="str">
        <f>IF(A138="","",SUMIFS('收支明細'!$E:$E,'收支明細'!$B:$B,"支出",'收支明細'!$A:$A,A138))</f>
        <v/>
      </c>
      <c r="H138" s="40" t="str">
        <f>IF(OR(A138="",A138&lt;'月度總覽'!$F$6),0,'月度總覽'!$F$13)</f>
        <v>0.00</v>
      </c>
      <c r="I138" s="40" t="str">
        <f t="shared" si="2"/>
        <v/>
      </c>
      <c r="J138" s="40" t="str">
        <f>IF(OR(A138="",A138&lt;'月度總覽'!$F$6),"",'月度總覽'!$F$12-SUM($H$5:H138)+IF(AND('月度總覽'!$B$10="到帳日自動計入",'月度總覽'!$B$8&gt;'月度總覽'!$B$7,'月度總覽'!$B$8&lt;=A138),'月度總覽'!$B$9,0)+SUMIFS($E$5:E138,$A$5:A138,"&gt;"&amp;'月度總覽'!$B$7)-SUMIFS($G$5:G138,$A$5:A138,"&gt;"&amp;'月度總覽'!$B$7))</f>
        <v/>
      </c>
    </row>
    <row r="139" ht="15.75" customHeight="1">
      <c r="A139" s="39" t="str">
        <f>IF(135&lt;='月度總覽'!$F$5,'月度總覽'!$B$5+135-1,"")</f>
        <v/>
      </c>
      <c r="B139" t="str">
        <f t="shared" si="1"/>
        <v/>
      </c>
      <c r="C139" t="str">
        <f>IF(A139="","",IF(A139&lt;'月度總覽'!$F$6,"已過",IF(A139='月度總覽'!$F$6,"基準日","未來")))</f>
        <v/>
      </c>
      <c r="D139" s="40" t="str">
        <f>IF(A139="","",IF(A139='月度總覽'!$B$8,'月度總覽'!$B$9,0))</f>
        <v/>
      </c>
      <c r="E139" s="40" t="str">
        <f>IF(A139="","",SUMIFS('收支明細'!$E:$E,'收支明細'!$B:$B,"收入",'收支明細'!$A:$A,A139))</f>
        <v/>
      </c>
      <c r="F139" s="40" t="str">
        <f>IF(A139="","",SUMIFS('固定支出'!$C:$C,'固定支出'!$G:$G,"是",'固定支出'!$D:$D,A139))</f>
        <v/>
      </c>
      <c r="G139" s="40" t="str">
        <f>IF(A139="","",SUMIFS('收支明細'!$E:$E,'收支明細'!$B:$B,"支出",'收支明細'!$A:$A,A139))</f>
        <v/>
      </c>
      <c r="H139" s="40" t="str">
        <f>IF(OR(A139="",A139&lt;'月度總覽'!$F$6),0,'月度總覽'!$F$13)</f>
        <v>0.00</v>
      </c>
      <c r="I139" s="40" t="str">
        <f t="shared" si="2"/>
        <v/>
      </c>
      <c r="J139" s="40" t="str">
        <f>IF(OR(A139="",A139&lt;'月度總覽'!$F$6),"",'月度總覽'!$F$12-SUM($H$5:H139)+IF(AND('月度總覽'!$B$10="到帳日自動計入",'月度總覽'!$B$8&gt;'月度總覽'!$B$7,'月度總覽'!$B$8&lt;=A139),'月度總覽'!$B$9,0)+SUMIFS($E$5:E139,$A$5:A139,"&gt;"&amp;'月度總覽'!$B$7)-SUMIFS($G$5:G139,$A$5:A139,"&gt;"&amp;'月度總覽'!$B$7))</f>
        <v/>
      </c>
    </row>
    <row r="140" ht="15.75" customHeight="1">
      <c r="A140" s="39" t="str">
        <f>IF(136&lt;='月度總覽'!$F$5,'月度總覽'!$B$5+136-1,"")</f>
        <v/>
      </c>
      <c r="B140" t="str">
        <f t="shared" si="1"/>
        <v/>
      </c>
      <c r="C140" t="str">
        <f>IF(A140="","",IF(A140&lt;'月度總覽'!$F$6,"已過",IF(A140='月度總覽'!$F$6,"基準日","未來")))</f>
        <v/>
      </c>
      <c r="D140" s="40" t="str">
        <f>IF(A140="","",IF(A140='月度總覽'!$B$8,'月度總覽'!$B$9,0))</f>
        <v/>
      </c>
      <c r="E140" s="40" t="str">
        <f>IF(A140="","",SUMIFS('收支明細'!$E:$E,'收支明細'!$B:$B,"收入",'收支明細'!$A:$A,A140))</f>
        <v/>
      </c>
      <c r="F140" s="40" t="str">
        <f>IF(A140="","",SUMIFS('固定支出'!$C:$C,'固定支出'!$G:$G,"是",'固定支出'!$D:$D,A140))</f>
        <v/>
      </c>
      <c r="G140" s="40" t="str">
        <f>IF(A140="","",SUMIFS('收支明細'!$E:$E,'收支明細'!$B:$B,"支出",'收支明細'!$A:$A,A140))</f>
        <v/>
      </c>
      <c r="H140" s="40" t="str">
        <f>IF(OR(A140="",A140&lt;'月度總覽'!$F$6),0,'月度總覽'!$F$13)</f>
        <v>0.00</v>
      </c>
      <c r="I140" s="40" t="str">
        <f t="shared" si="2"/>
        <v/>
      </c>
      <c r="J140" s="40" t="str">
        <f>IF(OR(A140="",A140&lt;'月度總覽'!$F$6),"",'月度總覽'!$F$12-SUM($H$5:H140)+IF(AND('月度總覽'!$B$10="到帳日自動計入",'月度總覽'!$B$8&gt;'月度總覽'!$B$7,'月度總覽'!$B$8&lt;=A140),'月度總覽'!$B$9,0)+SUMIFS($E$5:E140,$A$5:A140,"&gt;"&amp;'月度總覽'!$B$7)-SUMIFS($G$5:G140,$A$5:A140,"&gt;"&amp;'月度總覽'!$B$7))</f>
        <v/>
      </c>
    </row>
    <row r="141" ht="15.75" customHeight="1">
      <c r="A141" s="39" t="str">
        <f>IF(137&lt;='月度總覽'!$F$5,'月度總覽'!$B$5+137-1,"")</f>
        <v/>
      </c>
      <c r="B141" t="str">
        <f t="shared" si="1"/>
        <v/>
      </c>
      <c r="C141" t="str">
        <f>IF(A141="","",IF(A141&lt;'月度總覽'!$F$6,"已過",IF(A141='月度總覽'!$F$6,"基準日","未來")))</f>
        <v/>
      </c>
      <c r="D141" s="40" t="str">
        <f>IF(A141="","",IF(A141='月度總覽'!$B$8,'月度總覽'!$B$9,0))</f>
        <v/>
      </c>
      <c r="E141" s="40" t="str">
        <f>IF(A141="","",SUMIFS('收支明細'!$E:$E,'收支明細'!$B:$B,"收入",'收支明細'!$A:$A,A141))</f>
        <v/>
      </c>
      <c r="F141" s="40" t="str">
        <f>IF(A141="","",SUMIFS('固定支出'!$C:$C,'固定支出'!$G:$G,"是",'固定支出'!$D:$D,A141))</f>
        <v/>
      </c>
      <c r="G141" s="40" t="str">
        <f>IF(A141="","",SUMIFS('收支明細'!$E:$E,'收支明細'!$B:$B,"支出",'收支明細'!$A:$A,A141))</f>
        <v/>
      </c>
      <c r="H141" s="40" t="str">
        <f>IF(OR(A141="",A141&lt;'月度總覽'!$F$6),0,'月度總覽'!$F$13)</f>
        <v>0.00</v>
      </c>
      <c r="I141" s="40" t="str">
        <f t="shared" si="2"/>
        <v/>
      </c>
      <c r="J141" s="40" t="str">
        <f>IF(OR(A141="",A141&lt;'月度總覽'!$F$6),"",'月度總覽'!$F$12-SUM($H$5:H141)+IF(AND('月度總覽'!$B$10="到帳日自動計入",'月度總覽'!$B$8&gt;'月度總覽'!$B$7,'月度總覽'!$B$8&lt;=A141),'月度總覽'!$B$9,0)+SUMIFS($E$5:E141,$A$5:A141,"&gt;"&amp;'月度總覽'!$B$7)-SUMIFS($G$5:G141,$A$5:A141,"&gt;"&amp;'月度總覽'!$B$7))</f>
        <v/>
      </c>
    </row>
    <row r="142" ht="15.75" customHeight="1">
      <c r="A142" s="39" t="str">
        <f>IF(138&lt;='月度總覽'!$F$5,'月度總覽'!$B$5+138-1,"")</f>
        <v/>
      </c>
      <c r="B142" t="str">
        <f t="shared" si="1"/>
        <v/>
      </c>
      <c r="C142" t="str">
        <f>IF(A142="","",IF(A142&lt;'月度總覽'!$F$6,"已過",IF(A142='月度總覽'!$F$6,"基準日","未來")))</f>
        <v/>
      </c>
      <c r="D142" s="40" t="str">
        <f>IF(A142="","",IF(A142='月度總覽'!$B$8,'月度總覽'!$B$9,0))</f>
        <v/>
      </c>
      <c r="E142" s="40" t="str">
        <f>IF(A142="","",SUMIFS('收支明細'!$E:$E,'收支明細'!$B:$B,"收入",'收支明細'!$A:$A,A142))</f>
        <v/>
      </c>
      <c r="F142" s="40" t="str">
        <f>IF(A142="","",SUMIFS('固定支出'!$C:$C,'固定支出'!$G:$G,"是",'固定支出'!$D:$D,A142))</f>
        <v/>
      </c>
      <c r="G142" s="40" t="str">
        <f>IF(A142="","",SUMIFS('收支明細'!$E:$E,'收支明細'!$B:$B,"支出",'收支明細'!$A:$A,A142))</f>
        <v/>
      </c>
      <c r="H142" s="40" t="str">
        <f>IF(OR(A142="",A142&lt;'月度總覽'!$F$6),0,'月度總覽'!$F$13)</f>
        <v>0.00</v>
      </c>
      <c r="I142" s="40" t="str">
        <f t="shared" si="2"/>
        <v/>
      </c>
      <c r="J142" s="40" t="str">
        <f>IF(OR(A142="",A142&lt;'月度總覽'!$F$6),"",'月度總覽'!$F$12-SUM($H$5:H142)+IF(AND('月度總覽'!$B$10="到帳日自動計入",'月度總覽'!$B$8&gt;'月度總覽'!$B$7,'月度總覽'!$B$8&lt;=A142),'月度總覽'!$B$9,0)+SUMIFS($E$5:E142,$A$5:A142,"&gt;"&amp;'月度總覽'!$B$7)-SUMIFS($G$5:G142,$A$5:A142,"&gt;"&amp;'月度總覽'!$B$7))</f>
        <v/>
      </c>
    </row>
    <row r="143" ht="15.75" customHeight="1">
      <c r="A143" s="39" t="str">
        <f>IF(139&lt;='月度總覽'!$F$5,'月度總覽'!$B$5+139-1,"")</f>
        <v/>
      </c>
      <c r="B143" t="str">
        <f t="shared" si="1"/>
        <v/>
      </c>
      <c r="C143" t="str">
        <f>IF(A143="","",IF(A143&lt;'月度總覽'!$F$6,"已過",IF(A143='月度總覽'!$F$6,"基準日","未來")))</f>
        <v/>
      </c>
      <c r="D143" s="40" t="str">
        <f>IF(A143="","",IF(A143='月度總覽'!$B$8,'月度總覽'!$B$9,0))</f>
        <v/>
      </c>
      <c r="E143" s="40" t="str">
        <f>IF(A143="","",SUMIFS('收支明細'!$E:$E,'收支明細'!$B:$B,"收入",'收支明細'!$A:$A,A143))</f>
        <v/>
      </c>
      <c r="F143" s="40" t="str">
        <f>IF(A143="","",SUMIFS('固定支出'!$C:$C,'固定支出'!$G:$G,"是",'固定支出'!$D:$D,A143))</f>
        <v/>
      </c>
      <c r="G143" s="40" t="str">
        <f>IF(A143="","",SUMIFS('收支明細'!$E:$E,'收支明細'!$B:$B,"支出",'收支明細'!$A:$A,A143))</f>
        <v/>
      </c>
      <c r="H143" s="40" t="str">
        <f>IF(OR(A143="",A143&lt;'月度總覽'!$F$6),0,'月度總覽'!$F$13)</f>
        <v>0.00</v>
      </c>
      <c r="I143" s="40" t="str">
        <f t="shared" si="2"/>
        <v/>
      </c>
      <c r="J143" s="40" t="str">
        <f>IF(OR(A143="",A143&lt;'月度總覽'!$F$6),"",'月度總覽'!$F$12-SUM($H$5:H143)+IF(AND('月度總覽'!$B$10="到帳日自動計入",'月度總覽'!$B$8&gt;'月度總覽'!$B$7,'月度總覽'!$B$8&lt;=A143),'月度總覽'!$B$9,0)+SUMIFS($E$5:E143,$A$5:A143,"&gt;"&amp;'月度總覽'!$B$7)-SUMIFS($G$5:G143,$A$5:A143,"&gt;"&amp;'月度總覽'!$B$7))</f>
        <v/>
      </c>
    </row>
    <row r="144" ht="15.75" customHeight="1">
      <c r="A144" s="39" t="str">
        <f>IF(140&lt;='月度總覽'!$F$5,'月度總覽'!$B$5+140-1,"")</f>
        <v/>
      </c>
      <c r="B144" t="str">
        <f t="shared" si="1"/>
        <v/>
      </c>
      <c r="C144" t="str">
        <f>IF(A144="","",IF(A144&lt;'月度總覽'!$F$6,"已過",IF(A144='月度總覽'!$F$6,"基準日","未來")))</f>
        <v/>
      </c>
      <c r="D144" s="40" t="str">
        <f>IF(A144="","",IF(A144='月度總覽'!$B$8,'月度總覽'!$B$9,0))</f>
        <v/>
      </c>
      <c r="E144" s="40" t="str">
        <f>IF(A144="","",SUMIFS('收支明細'!$E:$E,'收支明細'!$B:$B,"收入",'收支明細'!$A:$A,A144))</f>
        <v/>
      </c>
      <c r="F144" s="40" t="str">
        <f>IF(A144="","",SUMIFS('固定支出'!$C:$C,'固定支出'!$G:$G,"是",'固定支出'!$D:$D,A144))</f>
        <v/>
      </c>
      <c r="G144" s="40" t="str">
        <f>IF(A144="","",SUMIFS('收支明細'!$E:$E,'收支明細'!$B:$B,"支出",'收支明細'!$A:$A,A144))</f>
        <v/>
      </c>
      <c r="H144" s="40" t="str">
        <f>IF(OR(A144="",A144&lt;'月度總覽'!$F$6),0,'月度總覽'!$F$13)</f>
        <v>0.00</v>
      </c>
      <c r="I144" s="40" t="str">
        <f t="shared" si="2"/>
        <v/>
      </c>
      <c r="J144" s="40" t="str">
        <f>IF(OR(A144="",A144&lt;'月度總覽'!$F$6),"",'月度總覽'!$F$12-SUM($H$5:H144)+IF(AND('月度總覽'!$B$10="到帳日自動計入",'月度總覽'!$B$8&gt;'月度總覽'!$B$7,'月度總覽'!$B$8&lt;=A144),'月度總覽'!$B$9,0)+SUMIFS($E$5:E144,$A$5:A144,"&gt;"&amp;'月度總覽'!$B$7)-SUMIFS($G$5:G144,$A$5:A144,"&gt;"&amp;'月度總覽'!$B$7))</f>
        <v/>
      </c>
    </row>
    <row r="145" ht="15.75" customHeight="1">
      <c r="A145" s="39" t="str">
        <f>IF(141&lt;='月度總覽'!$F$5,'月度總覽'!$B$5+141-1,"")</f>
        <v/>
      </c>
      <c r="B145" t="str">
        <f t="shared" si="1"/>
        <v/>
      </c>
      <c r="C145" t="str">
        <f>IF(A145="","",IF(A145&lt;'月度總覽'!$F$6,"已過",IF(A145='月度總覽'!$F$6,"基準日","未來")))</f>
        <v/>
      </c>
      <c r="D145" s="40" t="str">
        <f>IF(A145="","",IF(A145='月度總覽'!$B$8,'月度總覽'!$B$9,0))</f>
        <v/>
      </c>
      <c r="E145" s="40" t="str">
        <f>IF(A145="","",SUMIFS('收支明細'!$E:$E,'收支明細'!$B:$B,"收入",'收支明細'!$A:$A,A145))</f>
        <v/>
      </c>
      <c r="F145" s="40" t="str">
        <f>IF(A145="","",SUMIFS('固定支出'!$C:$C,'固定支出'!$G:$G,"是",'固定支出'!$D:$D,A145))</f>
        <v/>
      </c>
      <c r="G145" s="40" t="str">
        <f>IF(A145="","",SUMIFS('收支明細'!$E:$E,'收支明細'!$B:$B,"支出",'收支明細'!$A:$A,A145))</f>
        <v/>
      </c>
      <c r="H145" s="40" t="str">
        <f>IF(OR(A145="",A145&lt;'月度總覽'!$F$6),0,'月度總覽'!$F$13)</f>
        <v>0.00</v>
      </c>
      <c r="I145" s="40" t="str">
        <f t="shared" si="2"/>
        <v/>
      </c>
      <c r="J145" s="40" t="str">
        <f>IF(OR(A145="",A145&lt;'月度總覽'!$F$6),"",'月度總覽'!$F$12-SUM($H$5:H145)+IF(AND('月度總覽'!$B$10="到帳日自動計入",'月度總覽'!$B$8&gt;'月度總覽'!$B$7,'月度總覽'!$B$8&lt;=A145),'月度總覽'!$B$9,0)+SUMIFS($E$5:E145,$A$5:A145,"&gt;"&amp;'月度總覽'!$B$7)-SUMIFS($G$5:G145,$A$5:A145,"&gt;"&amp;'月度總覽'!$B$7))</f>
        <v/>
      </c>
    </row>
    <row r="146" ht="15.75" customHeight="1">
      <c r="A146" s="39" t="str">
        <f>IF(142&lt;='月度總覽'!$F$5,'月度總覽'!$B$5+142-1,"")</f>
        <v/>
      </c>
      <c r="B146" t="str">
        <f t="shared" si="1"/>
        <v/>
      </c>
      <c r="C146" t="str">
        <f>IF(A146="","",IF(A146&lt;'月度總覽'!$F$6,"已過",IF(A146='月度總覽'!$F$6,"基準日","未來")))</f>
        <v/>
      </c>
      <c r="D146" s="40" t="str">
        <f>IF(A146="","",IF(A146='月度總覽'!$B$8,'月度總覽'!$B$9,0))</f>
        <v/>
      </c>
      <c r="E146" s="40" t="str">
        <f>IF(A146="","",SUMIFS('收支明細'!$E:$E,'收支明細'!$B:$B,"收入",'收支明細'!$A:$A,A146))</f>
        <v/>
      </c>
      <c r="F146" s="40" t="str">
        <f>IF(A146="","",SUMIFS('固定支出'!$C:$C,'固定支出'!$G:$G,"是",'固定支出'!$D:$D,A146))</f>
        <v/>
      </c>
      <c r="G146" s="40" t="str">
        <f>IF(A146="","",SUMIFS('收支明細'!$E:$E,'收支明細'!$B:$B,"支出",'收支明細'!$A:$A,A146))</f>
        <v/>
      </c>
      <c r="H146" s="40" t="str">
        <f>IF(OR(A146="",A146&lt;'月度總覽'!$F$6),0,'月度總覽'!$F$13)</f>
        <v>0.00</v>
      </c>
      <c r="I146" s="40" t="str">
        <f t="shared" si="2"/>
        <v/>
      </c>
      <c r="J146" s="40" t="str">
        <f>IF(OR(A146="",A146&lt;'月度總覽'!$F$6),"",'月度總覽'!$F$12-SUM($H$5:H146)+IF(AND('月度總覽'!$B$10="到帳日自動計入",'月度總覽'!$B$8&gt;'月度總覽'!$B$7,'月度總覽'!$B$8&lt;=A146),'月度總覽'!$B$9,0)+SUMIFS($E$5:E146,$A$5:A146,"&gt;"&amp;'月度總覽'!$B$7)-SUMIFS($G$5:G146,$A$5:A146,"&gt;"&amp;'月度總覽'!$B$7))</f>
        <v/>
      </c>
    </row>
    <row r="147" ht="15.75" customHeight="1">
      <c r="A147" s="39" t="str">
        <f>IF(143&lt;='月度總覽'!$F$5,'月度總覽'!$B$5+143-1,"")</f>
        <v/>
      </c>
      <c r="B147" t="str">
        <f t="shared" si="1"/>
        <v/>
      </c>
      <c r="C147" t="str">
        <f>IF(A147="","",IF(A147&lt;'月度總覽'!$F$6,"已過",IF(A147='月度總覽'!$F$6,"基準日","未來")))</f>
        <v/>
      </c>
      <c r="D147" s="40" t="str">
        <f>IF(A147="","",IF(A147='月度總覽'!$B$8,'月度總覽'!$B$9,0))</f>
        <v/>
      </c>
      <c r="E147" s="40" t="str">
        <f>IF(A147="","",SUMIFS('收支明細'!$E:$E,'收支明細'!$B:$B,"收入",'收支明細'!$A:$A,A147))</f>
        <v/>
      </c>
      <c r="F147" s="40" t="str">
        <f>IF(A147="","",SUMIFS('固定支出'!$C:$C,'固定支出'!$G:$G,"是",'固定支出'!$D:$D,A147))</f>
        <v/>
      </c>
      <c r="G147" s="40" t="str">
        <f>IF(A147="","",SUMIFS('收支明細'!$E:$E,'收支明細'!$B:$B,"支出",'收支明細'!$A:$A,A147))</f>
        <v/>
      </c>
      <c r="H147" s="40" t="str">
        <f>IF(OR(A147="",A147&lt;'月度總覽'!$F$6),0,'月度總覽'!$F$13)</f>
        <v>0.00</v>
      </c>
      <c r="I147" s="40" t="str">
        <f t="shared" si="2"/>
        <v/>
      </c>
      <c r="J147" s="40" t="str">
        <f>IF(OR(A147="",A147&lt;'月度總覽'!$F$6),"",'月度總覽'!$F$12-SUM($H$5:H147)+IF(AND('月度總覽'!$B$10="到帳日自動計入",'月度總覽'!$B$8&gt;'月度總覽'!$B$7,'月度總覽'!$B$8&lt;=A147),'月度總覽'!$B$9,0)+SUMIFS($E$5:E147,$A$5:A147,"&gt;"&amp;'月度總覽'!$B$7)-SUMIFS($G$5:G147,$A$5:A147,"&gt;"&amp;'月度總覽'!$B$7))</f>
        <v/>
      </c>
    </row>
    <row r="148" ht="15.75" customHeight="1">
      <c r="A148" s="39" t="str">
        <f>IF(144&lt;='月度總覽'!$F$5,'月度總覽'!$B$5+144-1,"")</f>
        <v/>
      </c>
      <c r="B148" t="str">
        <f t="shared" si="1"/>
        <v/>
      </c>
      <c r="C148" t="str">
        <f>IF(A148="","",IF(A148&lt;'月度總覽'!$F$6,"已過",IF(A148='月度總覽'!$F$6,"基準日","未來")))</f>
        <v/>
      </c>
      <c r="D148" s="40" t="str">
        <f>IF(A148="","",IF(A148='月度總覽'!$B$8,'月度總覽'!$B$9,0))</f>
        <v/>
      </c>
      <c r="E148" s="40" t="str">
        <f>IF(A148="","",SUMIFS('收支明細'!$E:$E,'收支明細'!$B:$B,"收入",'收支明細'!$A:$A,A148))</f>
        <v/>
      </c>
      <c r="F148" s="40" t="str">
        <f>IF(A148="","",SUMIFS('固定支出'!$C:$C,'固定支出'!$G:$G,"是",'固定支出'!$D:$D,A148))</f>
        <v/>
      </c>
      <c r="G148" s="40" t="str">
        <f>IF(A148="","",SUMIFS('收支明細'!$E:$E,'收支明細'!$B:$B,"支出",'收支明細'!$A:$A,A148))</f>
        <v/>
      </c>
      <c r="H148" s="40" t="str">
        <f>IF(OR(A148="",A148&lt;'月度總覽'!$F$6),0,'月度總覽'!$F$13)</f>
        <v>0.00</v>
      </c>
      <c r="I148" s="40" t="str">
        <f t="shared" si="2"/>
        <v/>
      </c>
      <c r="J148" s="40" t="str">
        <f>IF(OR(A148="",A148&lt;'月度總覽'!$F$6),"",'月度總覽'!$F$12-SUM($H$5:H148)+IF(AND('月度總覽'!$B$10="到帳日自動計入",'月度總覽'!$B$8&gt;'月度總覽'!$B$7,'月度總覽'!$B$8&lt;=A148),'月度總覽'!$B$9,0)+SUMIFS($E$5:E148,$A$5:A148,"&gt;"&amp;'月度總覽'!$B$7)-SUMIFS($G$5:G148,$A$5:A148,"&gt;"&amp;'月度總覽'!$B$7))</f>
        <v/>
      </c>
    </row>
    <row r="149" ht="15.75" customHeight="1">
      <c r="A149" s="39" t="str">
        <f>IF(145&lt;='月度總覽'!$F$5,'月度總覽'!$B$5+145-1,"")</f>
        <v/>
      </c>
      <c r="B149" t="str">
        <f t="shared" si="1"/>
        <v/>
      </c>
      <c r="C149" t="str">
        <f>IF(A149="","",IF(A149&lt;'月度總覽'!$F$6,"已過",IF(A149='月度總覽'!$F$6,"基準日","未來")))</f>
        <v/>
      </c>
      <c r="D149" s="40" t="str">
        <f>IF(A149="","",IF(A149='月度總覽'!$B$8,'月度總覽'!$B$9,0))</f>
        <v/>
      </c>
      <c r="E149" s="40" t="str">
        <f>IF(A149="","",SUMIFS('收支明細'!$E:$E,'收支明細'!$B:$B,"收入",'收支明細'!$A:$A,A149))</f>
        <v/>
      </c>
      <c r="F149" s="40" t="str">
        <f>IF(A149="","",SUMIFS('固定支出'!$C:$C,'固定支出'!$G:$G,"是",'固定支出'!$D:$D,A149))</f>
        <v/>
      </c>
      <c r="G149" s="40" t="str">
        <f>IF(A149="","",SUMIFS('收支明細'!$E:$E,'收支明細'!$B:$B,"支出",'收支明細'!$A:$A,A149))</f>
        <v/>
      </c>
      <c r="H149" s="40" t="str">
        <f>IF(OR(A149="",A149&lt;'月度總覽'!$F$6),0,'月度總覽'!$F$13)</f>
        <v>0.00</v>
      </c>
      <c r="I149" s="40" t="str">
        <f t="shared" si="2"/>
        <v/>
      </c>
      <c r="J149" s="40" t="str">
        <f>IF(OR(A149="",A149&lt;'月度總覽'!$F$6),"",'月度總覽'!$F$12-SUM($H$5:H149)+IF(AND('月度總覽'!$B$10="到帳日自動計入",'月度總覽'!$B$8&gt;'月度總覽'!$B$7,'月度總覽'!$B$8&lt;=A149),'月度總覽'!$B$9,0)+SUMIFS($E$5:E149,$A$5:A149,"&gt;"&amp;'月度總覽'!$B$7)-SUMIFS($G$5:G149,$A$5:A149,"&gt;"&amp;'月度總覽'!$B$7))</f>
        <v/>
      </c>
    </row>
    <row r="150" ht="15.75" customHeight="1">
      <c r="A150" s="39" t="str">
        <f>IF(146&lt;='月度總覽'!$F$5,'月度總覽'!$B$5+146-1,"")</f>
        <v/>
      </c>
      <c r="B150" t="str">
        <f t="shared" si="1"/>
        <v/>
      </c>
      <c r="C150" t="str">
        <f>IF(A150="","",IF(A150&lt;'月度總覽'!$F$6,"已過",IF(A150='月度總覽'!$F$6,"基準日","未來")))</f>
        <v/>
      </c>
      <c r="D150" s="40" t="str">
        <f>IF(A150="","",IF(A150='月度總覽'!$B$8,'月度總覽'!$B$9,0))</f>
        <v/>
      </c>
      <c r="E150" s="40" t="str">
        <f>IF(A150="","",SUMIFS('收支明細'!$E:$E,'收支明細'!$B:$B,"收入",'收支明細'!$A:$A,A150))</f>
        <v/>
      </c>
      <c r="F150" s="40" t="str">
        <f>IF(A150="","",SUMIFS('固定支出'!$C:$C,'固定支出'!$G:$G,"是",'固定支出'!$D:$D,A150))</f>
        <v/>
      </c>
      <c r="G150" s="40" t="str">
        <f>IF(A150="","",SUMIFS('收支明細'!$E:$E,'收支明細'!$B:$B,"支出",'收支明細'!$A:$A,A150))</f>
        <v/>
      </c>
      <c r="H150" s="40" t="str">
        <f>IF(OR(A150="",A150&lt;'月度總覽'!$F$6),0,'月度總覽'!$F$13)</f>
        <v>0.00</v>
      </c>
      <c r="I150" s="40" t="str">
        <f t="shared" si="2"/>
        <v/>
      </c>
      <c r="J150" s="40" t="str">
        <f>IF(OR(A150="",A150&lt;'月度總覽'!$F$6),"",'月度總覽'!$F$12-SUM($H$5:H150)+IF(AND('月度總覽'!$B$10="到帳日自動計入",'月度總覽'!$B$8&gt;'月度總覽'!$B$7,'月度總覽'!$B$8&lt;=A150),'月度總覽'!$B$9,0)+SUMIFS($E$5:E150,$A$5:A150,"&gt;"&amp;'月度總覽'!$B$7)-SUMIFS($G$5:G150,$A$5:A150,"&gt;"&amp;'月度總覽'!$B$7))</f>
        <v/>
      </c>
    </row>
    <row r="151" ht="15.75" customHeight="1">
      <c r="A151" s="39" t="str">
        <f>IF(147&lt;='月度總覽'!$F$5,'月度總覽'!$B$5+147-1,"")</f>
        <v/>
      </c>
      <c r="B151" t="str">
        <f t="shared" si="1"/>
        <v/>
      </c>
      <c r="C151" t="str">
        <f>IF(A151="","",IF(A151&lt;'月度總覽'!$F$6,"已過",IF(A151='月度總覽'!$F$6,"基準日","未來")))</f>
        <v/>
      </c>
      <c r="D151" s="40" t="str">
        <f>IF(A151="","",IF(A151='月度總覽'!$B$8,'月度總覽'!$B$9,0))</f>
        <v/>
      </c>
      <c r="E151" s="40" t="str">
        <f>IF(A151="","",SUMIFS('收支明細'!$E:$E,'收支明細'!$B:$B,"收入",'收支明細'!$A:$A,A151))</f>
        <v/>
      </c>
      <c r="F151" s="40" t="str">
        <f>IF(A151="","",SUMIFS('固定支出'!$C:$C,'固定支出'!$G:$G,"是",'固定支出'!$D:$D,A151))</f>
        <v/>
      </c>
      <c r="G151" s="40" t="str">
        <f>IF(A151="","",SUMIFS('收支明細'!$E:$E,'收支明細'!$B:$B,"支出",'收支明細'!$A:$A,A151))</f>
        <v/>
      </c>
      <c r="H151" s="40" t="str">
        <f>IF(OR(A151="",A151&lt;'月度總覽'!$F$6),0,'月度總覽'!$F$13)</f>
        <v>0.00</v>
      </c>
      <c r="I151" s="40" t="str">
        <f t="shared" si="2"/>
        <v/>
      </c>
      <c r="J151" s="40" t="str">
        <f>IF(OR(A151="",A151&lt;'月度總覽'!$F$6),"",'月度總覽'!$F$12-SUM($H$5:H151)+IF(AND('月度總覽'!$B$10="到帳日自動計入",'月度總覽'!$B$8&gt;'月度總覽'!$B$7,'月度總覽'!$B$8&lt;=A151),'月度總覽'!$B$9,0)+SUMIFS($E$5:E151,$A$5:A151,"&gt;"&amp;'月度總覽'!$B$7)-SUMIFS($G$5:G151,$A$5:A151,"&gt;"&amp;'月度總覽'!$B$7))</f>
        <v/>
      </c>
    </row>
    <row r="152" ht="15.75" customHeight="1">
      <c r="A152" s="39" t="str">
        <f>IF(148&lt;='月度總覽'!$F$5,'月度總覽'!$B$5+148-1,"")</f>
        <v/>
      </c>
      <c r="B152" t="str">
        <f t="shared" si="1"/>
        <v/>
      </c>
      <c r="C152" t="str">
        <f>IF(A152="","",IF(A152&lt;'月度總覽'!$F$6,"已過",IF(A152='月度總覽'!$F$6,"基準日","未來")))</f>
        <v/>
      </c>
      <c r="D152" s="40" t="str">
        <f>IF(A152="","",IF(A152='月度總覽'!$B$8,'月度總覽'!$B$9,0))</f>
        <v/>
      </c>
      <c r="E152" s="40" t="str">
        <f>IF(A152="","",SUMIFS('收支明細'!$E:$E,'收支明細'!$B:$B,"收入",'收支明細'!$A:$A,A152))</f>
        <v/>
      </c>
      <c r="F152" s="40" t="str">
        <f>IF(A152="","",SUMIFS('固定支出'!$C:$C,'固定支出'!$G:$G,"是",'固定支出'!$D:$D,A152))</f>
        <v/>
      </c>
      <c r="G152" s="40" t="str">
        <f>IF(A152="","",SUMIFS('收支明細'!$E:$E,'收支明細'!$B:$B,"支出",'收支明細'!$A:$A,A152))</f>
        <v/>
      </c>
      <c r="H152" s="40" t="str">
        <f>IF(OR(A152="",A152&lt;'月度總覽'!$F$6),0,'月度總覽'!$F$13)</f>
        <v>0.00</v>
      </c>
      <c r="I152" s="40" t="str">
        <f t="shared" si="2"/>
        <v/>
      </c>
      <c r="J152" s="40" t="str">
        <f>IF(OR(A152="",A152&lt;'月度總覽'!$F$6),"",'月度總覽'!$F$12-SUM($H$5:H152)+IF(AND('月度總覽'!$B$10="到帳日自動計入",'月度總覽'!$B$8&gt;'月度總覽'!$B$7,'月度總覽'!$B$8&lt;=A152),'月度總覽'!$B$9,0)+SUMIFS($E$5:E152,$A$5:A152,"&gt;"&amp;'月度總覽'!$B$7)-SUMIFS($G$5:G152,$A$5:A152,"&gt;"&amp;'月度總覽'!$B$7))</f>
        <v/>
      </c>
    </row>
    <row r="153" ht="15.75" customHeight="1">
      <c r="A153" s="39" t="str">
        <f>IF(149&lt;='月度總覽'!$F$5,'月度總覽'!$B$5+149-1,"")</f>
        <v/>
      </c>
      <c r="B153" t="str">
        <f t="shared" si="1"/>
        <v/>
      </c>
      <c r="C153" t="str">
        <f>IF(A153="","",IF(A153&lt;'月度總覽'!$F$6,"已過",IF(A153='月度總覽'!$F$6,"基準日","未來")))</f>
        <v/>
      </c>
      <c r="D153" s="40" t="str">
        <f>IF(A153="","",IF(A153='月度總覽'!$B$8,'月度總覽'!$B$9,0))</f>
        <v/>
      </c>
      <c r="E153" s="40" t="str">
        <f>IF(A153="","",SUMIFS('收支明細'!$E:$E,'收支明細'!$B:$B,"收入",'收支明細'!$A:$A,A153))</f>
        <v/>
      </c>
      <c r="F153" s="40" t="str">
        <f>IF(A153="","",SUMIFS('固定支出'!$C:$C,'固定支出'!$G:$G,"是",'固定支出'!$D:$D,A153))</f>
        <v/>
      </c>
      <c r="G153" s="40" t="str">
        <f>IF(A153="","",SUMIFS('收支明細'!$E:$E,'收支明細'!$B:$B,"支出",'收支明細'!$A:$A,A153))</f>
        <v/>
      </c>
      <c r="H153" s="40" t="str">
        <f>IF(OR(A153="",A153&lt;'月度總覽'!$F$6),0,'月度總覽'!$F$13)</f>
        <v>0.00</v>
      </c>
      <c r="I153" s="40" t="str">
        <f t="shared" si="2"/>
        <v/>
      </c>
      <c r="J153" s="40" t="str">
        <f>IF(OR(A153="",A153&lt;'月度總覽'!$F$6),"",'月度總覽'!$F$12-SUM($H$5:H153)+IF(AND('月度總覽'!$B$10="到帳日自動計入",'月度總覽'!$B$8&gt;'月度總覽'!$B$7,'月度總覽'!$B$8&lt;=A153),'月度總覽'!$B$9,0)+SUMIFS($E$5:E153,$A$5:A153,"&gt;"&amp;'月度總覽'!$B$7)-SUMIFS($G$5:G153,$A$5:A153,"&gt;"&amp;'月度總覽'!$B$7))</f>
        <v/>
      </c>
    </row>
    <row r="154" ht="15.75" customHeight="1">
      <c r="A154" s="39" t="str">
        <f>IF(150&lt;='月度總覽'!$F$5,'月度總覽'!$B$5+150-1,"")</f>
        <v/>
      </c>
      <c r="B154" t="str">
        <f t="shared" si="1"/>
        <v/>
      </c>
      <c r="C154" t="str">
        <f>IF(A154="","",IF(A154&lt;'月度總覽'!$F$6,"已過",IF(A154='月度總覽'!$F$6,"基準日","未來")))</f>
        <v/>
      </c>
      <c r="D154" s="40" t="str">
        <f>IF(A154="","",IF(A154='月度總覽'!$B$8,'月度總覽'!$B$9,0))</f>
        <v/>
      </c>
      <c r="E154" s="40" t="str">
        <f>IF(A154="","",SUMIFS('收支明細'!$E:$E,'收支明細'!$B:$B,"收入",'收支明細'!$A:$A,A154))</f>
        <v/>
      </c>
      <c r="F154" s="40" t="str">
        <f>IF(A154="","",SUMIFS('固定支出'!$C:$C,'固定支出'!$G:$G,"是",'固定支出'!$D:$D,A154))</f>
        <v/>
      </c>
      <c r="G154" s="40" t="str">
        <f>IF(A154="","",SUMIFS('收支明細'!$E:$E,'收支明細'!$B:$B,"支出",'收支明細'!$A:$A,A154))</f>
        <v/>
      </c>
      <c r="H154" s="40" t="str">
        <f>IF(OR(A154="",A154&lt;'月度總覽'!$F$6),0,'月度總覽'!$F$13)</f>
        <v>0.00</v>
      </c>
      <c r="I154" s="40" t="str">
        <f t="shared" si="2"/>
        <v/>
      </c>
      <c r="J154" s="40" t="str">
        <f>IF(OR(A154="",A154&lt;'月度總覽'!$F$6),"",'月度總覽'!$F$12-SUM($H$5:H154)+IF(AND('月度總覽'!$B$10="到帳日自動計入",'月度總覽'!$B$8&gt;'月度總覽'!$B$7,'月度總覽'!$B$8&lt;=A154),'月度總覽'!$B$9,0)+SUMIFS($E$5:E154,$A$5:A154,"&gt;"&amp;'月度總覽'!$B$7)-SUMIFS($G$5:G154,$A$5:A154,"&gt;"&amp;'月度總覽'!$B$7))</f>
        <v/>
      </c>
    </row>
    <row r="155" ht="15.75" customHeight="1">
      <c r="A155" s="39" t="str">
        <f>IF(151&lt;='月度總覽'!$F$5,'月度總覽'!$B$5+151-1,"")</f>
        <v/>
      </c>
      <c r="B155" t="str">
        <f t="shared" si="1"/>
        <v/>
      </c>
      <c r="C155" t="str">
        <f>IF(A155="","",IF(A155&lt;'月度總覽'!$F$6,"已過",IF(A155='月度總覽'!$F$6,"基準日","未來")))</f>
        <v/>
      </c>
      <c r="D155" s="40" t="str">
        <f>IF(A155="","",IF(A155='月度總覽'!$B$8,'月度總覽'!$B$9,0))</f>
        <v/>
      </c>
      <c r="E155" s="40" t="str">
        <f>IF(A155="","",SUMIFS('收支明細'!$E:$E,'收支明細'!$B:$B,"收入",'收支明細'!$A:$A,A155))</f>
        <v/>
      </c>
      <c r="F155" s="40" t="str">
        <f>IF(A155="","",SUMIFS('固定支出'!$C:$C,'固定支出'!$G:$G,"是",'固定支出'!$D:$D,A155))</f>
        <v/>
      </c>
      <c r="G155" s="40" t="str">
        <f>IF(A155="","",SUMIFS('收支明細'!$E:$E,'收支明細'!$B:$B,"支出",'收支明細'!$A:$A,A155))</f>
        <v/>
      </c>
      <c r="H155" s="40" t="str">
        <f>IF(OR(A155="",A155&lt;'月度總覽'!$F$6),0,'月度總覽'!$F$13)</f>
        <v>0.00</v>
      </c>
      <c r="I155" s="40" t="str">
        <f t="shared" si="2"/>
        <v/>
      </c>
      <c r="J155" s="40" t="str">
        <f>IF(OR(A155="",A155&lt;'月度總覽'!$F$6),"",'月度總覽'!$F$12-SUM($H$5:H155)+IF(AND('月度總覽'!$B$10="到帳日自動計入",'月度總覽'!$B$8&gt;'月度總覽'!$B$7,'月度總覽'!$B$8&lt;=A155),'月度總覽'!$B$9,0)+SUMIFS($E$5:E155,$A$5:A155,"&gt;"&amp;'月度總覽'!$B$7)-SUMIFS($G$5:G155,$A$5:A155,"&gt;"&amp;'月度總覽'!$B$7))</f>
        <v/>
      </c>
    </row>
    <row r="156" ht="15.75" customHeight="1">
      <c r="A156" s="39" t="str">
        <f>IF(152&lt;='月度總覽'!$F$5,'月度總覽'!$B$5+152-1,"")</f>
        <v/>
      </c>
      <c r="B156" t="str">
        <f t="shared" si="1"/>
        <v/>
      </c>
      <c r="C156" t="str">
        <f>IF(A156="","",IF(A156&lt;'月度總覽'!$F$6,"已過",IF(A156='月度總覽'!$F$6,"基準日","未來")))</f>
        <v/>
      </c>
      <c r="D156" s="40" t="str">
        <f>IF(A156="","",IF(A156='月度總覽'!$B$8,'月度總覽'!$B$9,0))</f>
        <v/>
      </c>
      <c r="E156" s="40" t="str">
        <f>IF(A156="","",SUMIFS('收支明細'!$E:$E,'收支明細'!$B:$B,"收入",'收支明細'!$A:$A,A156))</f>
        <v/>
      </c>
      <c r="F156" s="40" t="str">
        <f>IF(A156="","",SUMIFS('固定支出'!$C:$C,'固定支出'!$G:$G,"是",'固定支出'!$D:$D,A156))</f>
        <v/>
      </c>
      <c r="G156" s="40" t="str">
        <f>IF(A156="","",SUMIFS('收支明細'!$E:$E,'收支明細'!$B:$B,"支出",'收支明細'!$A:$A,A156))</f>
        <v/>
      </c>
      <c r="H156" s="40" t="str">
        <f>IF(OR(A156="",A156&lt;'月度總覽'!$F$6),0,'月度總覽'!$F$13)</f>
        <v>0.00</v>
      </c>
      <c r="I156" s="40" t="str">
        <f t="shared" si="2"/>
        <v/>
      </c>
      <c r="J156" s="40" t="str">
        <f>IF(OR(A156="",A156&lt;'月度總覽'!$F$6),"",'月度總覽'!$F$12-SUM($H$5:H156)+IF(AND('月度總覽'!$B$10="到帳日自動計入",'月度總覽'!$B$8&gt;'月度總覽'!$B$7,'月度總覽'!$B$8&lt;=A156),'月度總覽'!$B$9,0)+SUMIFS($E$5:E156,$A$5:A156,"&gt;"&amp;'月度總覽'!$B$7)-SUMIFS($G$5:G156,$A$5:A156,"&gt;"&amp;'月度總覽'!$B$7))</f>
        <v/>
      </c>
    </row>
    <row r="157" ht="15.75" customHeight="1">
      <c r="A157" s="39" t="str">
        <f>IF(153&lt;='月度總覽'!$F$5,'月度總覽'!$B$5+153-1,"")</f>
        <v/>
      </c>
      <c r="B157" t="str">
        <f t="shared" si="1"/>
        <v/>
      </c>
      <c r="C157" t="str">
        <f>IF(A157="","",IF(A157&lt;'月度總覽'!$F$6,"已過",IF(A157='月度總覽'!$F$6,"基準日","未來")))</f>
        <v/>
      </c>
      <c r="D157" s="40" t="str">
        <f>IF(A157="","",IF(A157='月度總覽'!$B$8,'月度總覽'!$B$9,0))</f>
        <v/>
      </c>
      <c r="E157" s="40" t="str">
        <f>IF(A157="","",SUMIFS('收支明細'!$E:$E,'收支明細'!$B:$B,"收入",'收支明細'!$A:$A,A157))</f>
        <v/>
      </c>
      <c r="F157" s="40" t="str">
        <f>IF(A157="","",SUMIFS('固定支出'!$C:$C,'固定支出'!$G:$G,"是",'固定支出'!$D:$D,A157))</f>
        <v/>
      </c>
      <c r="G157" s="40" t="str">
        <f>IF(A157="","",SUMIFS('收支明細'!$E:$E,'收支明細'!$B:$B,"支出",'收支明細'!$A:$A,A157))</f>
        <v/>
      </c>
      <c r="H157" s="40" t="str">
        <f>IF(OR(A157="",A157&lt;'月度總覽'!$F$6),0,'月度總覽'!$F$13)</f>
        <v>0.00</v>
      </c>
      <c r="I157" s="40" t="str">
        <f t="shared" si="2"/>
        <v/>
      </c>
      <c r="J157" s="40" t="str">
        <f>IF(OR(A157="",A157&lt;'月度總覽'!$F$6),"",'月度總覽'!$F$12-SUM($H$5:H157)+IF(AND('月度總覽'!$B$10="到帳日自動計入",'月度總覽'!$B$8&gt;'月度總覽'!$B$7,'月度總覽'!$B$8&lt;=A157),'月度總覽'!$B$9,0)+SUMIFS($E$5:E157,$A$5:A157,"&gt;"&amp;'月度總覽'!$B$7)-SUMIFS($G$5:G157,$A$5:A157,"&gt;"&amp;'月度總覽'!$B$7))</f>
        <v/>
      </c>
    </row>
    <row r="158" ht="15.75" customHeight="1">
      <c r="A158" s="39" t="str">
        <f>IF(154&lt;='月度總覽'!$F$5,'月度總覽'!$B$5+154-1,"")</f>
        <v/>
      </c>
      <c r="B158" t="str">
        <f t="shared" si="1"/>
        <v/>
      </c>
      <c r="C158" t="str">
        <f>IF(A158="","",IF(A158&lt;'月度總覽'!$F$6,"已過",IF(A158='月度總覽'!$F$6,"基準日","未來")))</f>
        <v/>
      </c>
      <c r="D158" s="40" t="str">
        <f>IF(A158="","",IF(A158='月度總覽'!$B$8,'月度總覽'!$B$9,0))</f>
        <v/>
      </c>
      <c r="E158" s="40" t="str">
        <f>IF(A158="","",SUMIFS('收支明細'!$E:$E,'收支明細'!$B:$B,"收入",'收支明細'!$A:$A,A158))</f>
        <v/>
      </c>
      <c r="F158" s="40" t="str">
        <f>IF(A158="","",SUMIFS('固定支出'!$C:$C,'固定支出'!$G:$G,"是",'固定支出'!$D:$D,A158))</f>
        <v/>
      </c>
      <c r="G158" s="40" t="str">
        <f>IF(A158="","",SUMIFS('收支明細'!$E:$E,'收支明細'!$B:$B,"支出",'收支明細'!$A:$A,A158))</f>
        <v/>
      </c>
      <c r="H158" s="40" t="str">
        <f>IF(OR(A158="",A158&lt;'月度總覽'!$F$6),0,'月度總覽'!$F$13)</f>
        <v>0.00</v>
      </c>
      <c r="I158" s="40" t="str">
        <f t="shared" si="2"/>
        <v/>
      </c>
      <c r="J158" s="40" t="str">
        <f>IF(OR(A158="",A158&lt;'月度總覽'!$F$6),"",'月度總覽'!$F$12-SUM($H$5:H158)+IF(AND('月度總覽'!$B$10="到帳日自動計入",'月度總覽'!$B$8&gt;'月度總覽'!$B$7,'月度總覽'!$B$8&lt;=A158),'月度總覽'!$B$9,0)+SUMIFS($E$5:E158,$A$5:A158,"&gt;"&amp;'月度總覽'!$B$7)-SUMIFS($G$5:G158,$A$5:A158,"&gt;"&amp;'月度總覽'!$B$7))</f>
        <v/>
      </c>
    </row>
    <row r="159" ht="15.75" customHeight="1">
      <c r="A159" s="39" t="str">
        <f>IF(155&lt;='月度總覽'!$F$5,'月度總覽'!$B$5+155-1,"")</f>
        <v/>
      </c>
      <c r="B159" t="str">
        <f t="shared" si="1"/>
        <v/>
      </c>
      <c r="C159" t="str">
        <f>IF(A159="","",IF(A159&lt;'月度總覽'!$F$6,"已過",IF(A159='月度總覽'!$F$6,"基準日","未來")))</f>
        <v/>
      </c>
      <c r="D159" s="40" t="str">
        <f>IF(A159="","",IF(A159='月度總覽'!$B$8,'月度總覽'!$B$9,0))</f>
        <v/>
      </c>
      <c r="E159" s="40" t="str">
        <f>IF(A159="","",SUMIFS('收支明細'!$E:$E,'收支明細'!$B:$B,"收入",'收支明細'!$A:$A,A159))</f>
        <v/>
      </c>
      <c r="F159" s="40" t="str">
        <f>IF(A159="","",SUMIFS('固定支出'!$C:$C,'固定支出'!$G:$G,"是",'固定支出'!$D:$D,A159))</f>
        <v/>
      </c>
      <c r="G159" s="40" t="str">
        <f>IF(A159="","",SUMIFS('收支明細'!$E:$E,'收支明細'!$B:$B,"支出",'收支明細'!$A:$A,A159))</f>
        <v/>
      </c>
      <c r="H159" s="40" t="str">
        <f>IF(OR(A159="",A159&lt;'月度總覽'!$F$6),0,'月度總覽'!$F$13)</f>
        <v>0.00</v>
      </c>
      <c r="I159" s="40" t="str">
        <f t="shared" si="2"/>
        <v/>
      </c>
      <c r="J159" s="40" t="str">
        <f>IF(OR(A159="",A159&lt;'月度總覽'!$F$6),"",'月度總覽'!$F$12-SUM($H$5:H159)+IF(AND('月度總覽'!$B$10="到帳日自動計入",'月度總覽'!$B$8&gt;'月度總覽'!$B$7,'月度總覽'!$B$8&lt;=A159),'月度總覽'!$B$9,0)+SUMIFS($E$5:E159,$A$5:A159,"&gt;"&amp;'月度總覽'!$B$7)-SUMIFS($G$5:G159,$A$5:A159,"&gt;"&amp;'月度總覽'!$B$7))</f>
        <v/>
      </c>
    </row>
    <row r="160" ht="15.75" customHeight="1">
      <c r="A160" s="39" t="str">
        <f>IF(156&lt;='月度總覽'!$F$5,'月度總覽'!$B$5+156-1,"")</f>
        <v/>
      </c>
      <c r="B160" t="str">
        <f t="shared" si="1"/>
        <v/>
      </c>
      <c r="C160" t="str">
        <f>IF(A160="","",IF(A160&lt;'月度總覽'!$F$6,"已過",IF(A160='月度總覽'!$F$6,"基準日","未來")))</f>
        <v/>
      </c>
      <c r="D160" s="40" t="str">
        <f>IF(A160="","",IF(A160='月度總覽'!$B$8,'月度總覽'!$B$9,0))</f>
        <v/>
      </c>
      <c r="E160" s="40" t="str">
        <f>IF(A160="","",SUMIFS('收支明細'!$E:$E,'收支明細'!$B:$B,"收入",'收支明細'!$A:$A,A160))</f>
        <v/>
      </c>
      <c r="F160" s="40" t="str">
        <f>IF(A160="","",SUMIFS('固定支出'!$C:$C,'固定支出'!$G:$G,"是",'固定支出'!$D:$D,A160))</f>
        <v/>
      </c>
      <c r="G160" s="40" t="str">
        <f>IF(A160="","",SUMIFS('收支明細'!$E:$E,'收支明細'!$B:$B,"支出",'收支明細'!$A:$A,A160))</f>
        <v/>
      </c>
      <c r="H160" s="40" t="str">
        <f>IF(OR(A160="",A160&lt;'月度總覽'!$F$6),0,'月度總覽'!$F$13)</f>
        <v>0.00</v>
      </c>
      <c r="I160" s="40" t="str">
        <f t="shared" si="2"/>
        <v/>
      </c>
      <c r="J160" s="40" t="str">
        <f>IF(OR(A160="",A160&lt;'月度總覽'!$F$6),"",'月度總覽'!$F$12-SUM($H$5:H160)+IF(AND('月度總覽'!$B$10="到帳日自動計入",'月度總覽'!$B$8&gt;'月度總覽'!$B$7,'月度總覽'!$B$8&lt;=A160),'月度總覽'!$B$9,0)+SUMIFS($E$5:E160,$A$5:A160,"&gt;"&amp;'月度總覽'!$B$7)-SUMIFS($G$5:G160,$A$5:A160,"&gt;"&amp;'月度總覽'!$B$7))</f>
        <v/>
      </c>
    </row>
    <row r="161" ht="15.75" customHeight="1">
      <c r="A161" s="39" t="str">
        <f>IF(157&lt;='月度總覽'!$F$5,'月度總覽'!$B$5+157-1,"")</f>
        <v/>
      </c>
      <c r="B161" t="str">
        <f t="shared" si="1"/>
        <v/>
      </c>
      <c r="C161" t="str">
        <f>IF(A161="","",IF(A161&lt;'月度總覽'!$F$6,"已過",IF(A161='月度總覽'!$F$6,"基準日","未來")))</f>
        <v/>
      </c>
      <c r="D161" s="40" t="str">
        <f>IF(A161="","",IF(A161='月度總覽'!$B$8,'月度總覽'!$B$9,0))</f>
        <v/>
      </c>
      <c r="E161" s="40" t="str">
        <f>IF(A161="","",SUMIFS('收支明細'!$E:$E,'收支明細'!$B:$B,"收入",'收支明細'!$A:$A,A161))</f>
        <v/>
      </c>
      <c r="F161" s="40" t="str">
        <f>IF(A161="","",SUMIFS('固定支出'!$C:$C,'固定支出'!$G:$G,"是",'固定支出'!$D:$D,A161))</f>
        <v/>
      </c>
      <c r="G161" s="40" t="str">
        <f>IF(A161="","",SUMIFS('收支明細'!$E:$E,'收支明細'!$B:$B,"支出",'收支明細'!$A:$A,A161))</f>
        <v/>
      </c>
      <c r="H161" s="40" t="str">
        <f>IF(OR(A161="",A161&lt;'月度總覽'!$F$6),0,'月度總覽'!$F$13)</f>
        <v>0.00</v>
      </c>
      <c r="I161" s="40" t="str">
        <f t="shared" si="2"/>
        <v/>
      </c>
      <c r="J161" s="40" t="str">
        <f>IF(OR(A161="",A161&lt;'月度總覽'!$F$6),"",'月度總覽'!$F$12-SUM($H$5:H161)+IF(AND('月度總覽'!$B$10="到帳日自動計入",'月度總覽'!$B$8&gt;'月度總覽'!$B$7,'月度總覽'!$B$8&lt;=A161),'月度總覽'!$B$9,0)+SUMIFS($E$5:E161,$A$5:A161,"&gt;"&amp;'月度總覽'!$B$7)-SUMIFS($G$5:G161,$A$5:A161,"&gt;"&amp;'月度總覽'!$B$7))</f>
        <v/>
      </c>
    </row>
    <row r="162" ht="15.75" customHeight="1">
      <c r="A162" s="39" t="str">
        <f>IF(158&lt;='月度總覽'!$F$5,'月度總覽'!$B$5+158-1,"")</f>
        <v/>
      </c>
      <c r="B162" t="str">
        <f t="shared" si="1"/>
        <v/>
      </c>
      <c r="C162" t="str">
        <f>IF(A162="","",IF(A162&lt;'月度總覽'!$F$6,"已過",IF(A162='月度總覽'!$F$6,"基準日","未來")))</f>
        <v/>
      </c>
      <c r="D162" s="40" t="str">
        <f>IF(A162="","",IF(A162='月度總覽'!$B$8,'月度總覽'!$B$9,0))</f>
        <v/>
      </c>
      <c r="E162" s="40" t="str">
        <f>IF(A162="","",SUMIFS('收支明細'!$E:$E,'收支明細'!$B:$B,"收入",'收支明細'!$A:$A,A162))</f>
        <v/>
      </c>
      <c r="F162" s="40" t="str">
        <f>IF(A162="","",SUMIFS('固定支出'!$C:$C,'固定支出'!$G:$G,"是",'固定支出'!$D:$D,A162))</f>
        <v/>
      </c>
      <c r="G162" s="40" t="str">
        <f>IF(A162="","",SUMIFS('收支明細'!$E:$E,'收支明細'!$B:$B,"支出",'收支明細'!$A:$A,A162))</f>
        <v/>
      </c>
      <c r="H162" s="40" t="str">
        <f>IF(OR(A162="",A162&lt;'月度總覽'!$F$6),0,'月度總覽'!$F$13)</f>
        <v>0.00</v>
      </c>
      <c r="I162" s="40" t="str">
        <f t="shared" si="2"/>
        <v/>
      </c>
      <c r="J162" s="40" t="str">
        <f>IF(OR(A162="",A162&lt;'月度總覽'!$F$6),"",'月度總覽'!$F$12-SUM($H$5:H162)+IF(AND('月度總覽'!$B$10="到帳日自動計入",'月度總覽'!$B$8&gt;'月度總覽'!$B$7,'月度總覽'!$B$8&lt;=A162),'月度總覽'!$B$9,0)+SUMIFS($E$5:E162,$A$5:A162,"&gt;"&amp;'月度總覽'!$B$7)-SUMIFS($G$5:G162,$A$5:A162,"&gt;"&amp;'月度總覽'!$B$7))</f>
        <v/>
      </c>
    </row>
    <row r="163" ht="15.75" customHeight="1">
      <c r="A163" s="39" t="str">
        <f>IF(159&lt;='月度總覽'!$F$5,'月度總覽'!$B$5+159-1,"")</f>
        <v/>
      </c>
      <c r="B163" t="str">
        <f t="shared" si="1"/>
        <v/>
      </c>
      <c r="C163" t="str">
        <f>IF(A163="","",IF(A163&lt;'月度總覽'!$F$6,"已過",IF(A163='月度總覽'!$F$6,"基準日","未來")))</f>
        <v/>
      </c>
      <c r="D163" s="40" t="str">
        <f>IF(A163="","",IF(A163='月度總覽'!$B$8,'月度總覽'!$B$9,0))</f>
        <v/>
      </c>
      <c r="E163" s="40" t="str">
        <f>IF(A163="","",SUMIFS('收支明細'!$E:$E,'收支明細'!$B:$B,"收入",'收支明細'!$A:$A,A163))</f>
        <v/>
      </c>
      <c r="F163" s="40" t="str">
        <f>IF(A163="","",SUMIFS('固定支出'!$C:$C,'固定支出'!$G:$G,"是",'固定支出'!$D:$D,A163))</f>
        <v/>
      </c>
      <c r="G163" s="40" t="str">
        <f>IF(A163="","",SUMIFS('收支明細'!$E:$E,'收支明細'!$B:$B,"支出",'收支明細'!$A:$A,A163))</f>
        <v/>
      </c>
      <c r="H163" s="40" t="str">
        <f>IF(OR(A163="",A163&lt;'月度總覽'!$F$6),0,'月度總覽'!$F$13)</f>
        <v>0.00</v>
      </c>
      <c r="I163" s="40" t="str">
        <f t="shared" si="2"/>
        <v/>
      </c>
      <c r="J163" s="40" t="str">
        <f>IF(OR(A163="",A163&lt;'月度總覽'!$F$6),"",'月度總覽'!$F$12-SUM($H$5:H163)+IF(AND('月度總覽'!$B$10="到帳日自動計入",'月度總覽'!$B$8&gt;'月度總覽'!$B$7,'月度總覽'!$B$8&lt;=A163),'月度總覽'!$B$9,0)+SUMIFS($E$5:E163,$A$5:A163,"&gt;"&amp;'月度總覽'!$B$7)-SUMIFS($G$5:G163,$A$5:A163,"&gt;"&amp;'月度總覽'!$B$7))</f>
        <v/>
      </c>
    </row>
    <row r="164" ht="15.75" customHeight="1">
      <c r="A164" s="39" t="str">
        <f>IF(160&lt;='月度總覽'!$F$5,'月度總覽'!$B$5+160-1,"")</f>
        <v/>
      </c>
      <c r="B164" t="str">
        <f t="shared" si="1"/>
        <v/>
      </c>
      <c r="C164" t="str">
        <f>IF(A164="","",IF(A164&lt;'月度總覽'!$F$6,"已過",IF(A164='月度總覽'!$F$6,"基準日","未來")))</f>
        <v/>
      </c>
      <c r="D164" s="40" t="str">
        <f>IF(A164="","",IF(A164='月度總覽'!$B$8,'月度總覽'!$B$9,0))</f>
        <v/>
      </c>
      <c r="E164" s="40" t="str">
        <f>IF(A164="","",SUMIFS('收支明細'!$E:$E,'收支明細'!$B:$B,"收入",'收支明細'!$A:$A,A164))</f>
        <v/>
      </c>
      <c r="F164" s="40" t="str">
        <f>IF(A164="","",SUMIFS('固定支出'!$C:$C,'固定支出'!$G:$G,"是",'固定支出'!$D:$D,A164))</f>
        <v/>
      </c>
      <c r="G164" s="40" t="str">
        <f>IF(A164="","",SUMIFS('收支明細'!$E:$E,'收支明細'!$B:$B,"支出",'收支明細'!$A:$A,A164))</f>
        <v/>
      </c>
      <c r="H164" s="40" t="str">
        <f>IF(OR(A164="",A164&lt;'月度總覽'!$F$6),0,'月度總覽'!$F$13)</f>
        <v>0.00</v>
      </c>
      <c r="I164" s="40" t="str">
        <f t="shared" si="2"/>
        <v/>
      </c>
      <c r="J164" s="40" t="str">
        <f>IF(OR(A164="",A164&lt;'月度總覽'!$F$6),"",'月度總覽'!$F$12-SUM($H$5:H164)+IF(AND('月度總覽'!$B$10="到帳日自動計入",'月度總覽'!$B$8&gt;'月度總覽'!$B$7,'月度總覽'!$B$8&lt;=A164),'月度總覽'!$B$9,0)+SUMIFS($E$5:E164,$A$5:A164,"&gt;"&amp;'月度總覽'!$B$7)-SUMIFS($G$5:G164,$A$5:A164,"&gt;"&amp;'月度總覽'!$B$7))</f>
        <v/>
      </c>
    </row>
    <row r="165" ht="15.75" customHeight="1">
      <c r="A165" s="39" t="str">
        <f>IF(161&lt;='月度總覽'!$F$5,'月度總覽'!$B$5+161-1,"")</f>
        <v/>
      </c>
      <c r="B165" t="str">
        <f t="shared" si="1"/>
        <v/>
      </c>
      <c r="C165" t="str">
        <f>IF(A165="","",IF(A165&lt;'月度總覽'!$F$6,"已過",IF(A165='月度總覽'!$F$6,"基準日","未來")))</f>
        <v/>
      </c>
      <c r="D165" s="40" t="str">
        <f>IF(A165="","",IF(A165='月度總覽'!$B$8,'月度總覽'!$B$9,0))</f>
        <v/>
      </c>
      <c r="E165" s="40" t="str">
        <f>IF(A165="","",SUMIFS('收支明細'!$E:$E,'收支明細'!$B:$B,"收入",'收支明細'!$A:$A,A165))</f>
        <v/>
      </c>
      <c r="F165" s="40" t="str">
        <f>IF(A165="","",SUMIFS('固定支出'!$C:$C,'固定支出'!$G:$G,"是",'固定支出'!$D:$D,A165))</f>
        <v/>
      </c>
      <c r="G165" s="40" t="str">
        <f>IF(A165="","",SUMIFS('收支明細'!$E:$E,'收支明細'!$B:$B,"支出",'收支明細'!$A:$A,A165))</f>
        <v/>
      </c>
      <c r="H165" s="40" t="str">
        <f>IF(OR(A165="",A165&lt;'月度總覽'!$F$6),0,'月度總覽'!$F$13)</f>
        <v>0.00</v>
      </c>
      <c r="I165" s="40" t="str">
        <f t="shared" si="2"/>
        <v/>
      </c>
      <c r="J165" s="40" t="str">
        <f>IF(OR(A165="",A165&lt;'月度總覽'!$F$6),"",'月度總覽'!$F$12-SUM($H$5:H165)+IF(AND('月度總覽'!$B$10="到帳日自動計入",'月度總覽'!$B$8&gt;'月度總覽'!$B$7,'月度總覽'!$B$8&lt;=A165),'月度總覽'!$B$9,0)+SUMIFS($E$5:E165,$A$5:A165,"&gt;"&amp;'月度總覽'!$B$7)-SUMIFS($G$5:G165,$A$5:A165,"&gt;"&amp;'月度總覽'!$B$7))</f>
        <v/>
      </c>
    </row>
    <row r="166" ht="15.75" customHeight="1">
      <c r="A166" s="39" t="str">
        <f>IF(162&lt;='月度總覽'!$F$5,'月度總覽'!$B$5+162-1,"")</f>
        <v/>
      </c>
      <c r="B166" t="str">
        <f t="shared" si="1"/>
        <v/>
      </c>
      <c r="C166" t="str">
        <f>IF(A166="","",IF(A166&lt;'月度總覽'!$F$6,"已過",IF(A166='月度總覽'!$F$6,"基準日","未來")))</f>
        <v/>
      </c>
      <c r="D166" s="40" t="str">
        <f>IF(A166="","",IF(A166='月度總覽'!$B$8,'月度總覽'!$B$9,0))</f>
        <v/>
      </c>
      <c r="E166" s="40" t="str">
        <f>IF(A166="","",SUMIFS('收支明細'!$E:$E,'收支明細'!$B:$B,"收入",'收支明細'!$A:$A,A166))</f>
        <v/>
      </c>
      <c r="F166" s="40" t="str">
        <f>IF(A166="","",SUMIFS('固定支出'!$C:$C,'固定支出'!$G:$G,"是",'固定支出'!$D:$D,A166))</f>
        <v/>
      </c>
      <c r="G166" s="40" t="str">
        <f>IF(A166="","",SUMIFS('收支明細'!$E:$E,'收支明細'!$B:$B,"支出",'收支明細'!$A:$A,A166))</f>
        <v/>
      </c>
      <c r="H166" s="40" t="str">
        <f>IF(OR(A166="",A166&lt;'月度總覽'!$F$6),0,'月度總覽'!$F$13)</f>
        <v>0.00</v>
      </c>
      <c r="I166" s="40" t="str">
        <f t="shared" si="2"/>
        <v/>
      </c>
      <c r="J166" s="40" t="str">
        <f>IF(OR(A166="",A166&lt;'月度總覽'!$F$6),"",'月度總覽'!$F$12-SUM($H$5:H166)+IF(AND('月度總覽'!$B$10="到帳日自動計入",'月度總覽'!$B$8&gt;'月度總覽'!$B$7,'月度總覽'!$B$8&lt;=A166),'月度總覽'!$B$9,0)+SUMIFS($E$5:E166,$A$5:A166,"&gt;"&amp;'月度總覽'!$B$7)-SUMIFS($G$5:G166,$A$5:A166,"&gt;"&amp;'月度總覽'!$B$7))</f>
        <v/>
      </c>
    </row>
    <row r="167" ht="15.75" customHeight="1">
      <c r="A167" s="39" t="str">
        <f>IF(163&lt;='月度總覽'!$F$5,'月度總覽'!$B$5+163-1,"")</f>
        <v/>
      </c>
      <c r="B167" t="str">
        <f t="shared" si="1"/>
        <v/>
      </c>
      <c r="C167" t="str">
        <f>IF(A167="","",IF(A167&lt;'月度總覽'!$F$6,"已過",IF(A167='月度總覽'!$F$6,"基準日","未來")))</f>
        <v/>
      </c>
      <c r="D167" s="40" t="str">
        <f>IF(A167="","",IF(A167='月度總覽'!$B$8,'月度總覽'!$B$9,0))</f>
        <v/>
      </c>
      <c r="E167" s="40" t="str">
        <f>IF(A167="","",SUMIFS('收支明細'!$E:$E,'收支明細'!$B:$B,"收入",'收支明細'!$A:$A,A167))</f>
        <v/>
      </c>
      <c r="F167" s="40" t="str">
        <f>IF(A167="","",SUMIFS('固定支出'!$C:$C,'固定支出'!$G:$G,"是",'固定支出'!$D:$D,A167))</f>
        <v/>
      </c>
      <c r="G167" s="40" t="str">
        <f>IF(A167="","",SUMIFS('收支明細'!$E:$E,'收支明細'!$B:$B,"支出",'收支明細'!$A:$A,A167))</f>
        <v/>
      </c>
      <c r="H167" s="40" t="str">
        <f>IF(OR(A167="",A167&lt;'月度總覽'!$F$6),0,'月度總覽'!$F$13)</f>
        <v>0.00</v>
      </c>
      <c r="I167" s="40" t="str">
        <f t="shared" si="2"/>
        <v/>
      </c>
      <c r="J167" s="40" t="str">
        <f>IF(OR(A167="",A167&lt;'月度總覽'!$F$6),"",'月度總覽'!$F$12-SUM($H$5:H167)+IF(AND('月度總覽'!$B$10="到帳日自動計入",'月度總覽'!$B$8&gt;'月度總覽'!$B$7,'月度總覽'!$B$8&lt;=A167),'月度總覽'!$B$9,0)+SUMIFS($E$5:E167,$A$5:A167,"&gt;"&amp;'月度總覽'!$B$7)-SUMIFS($G$5:G167,$A$5:A167,"&gt;"&amp;'月度總覽'!$B$7))</f>
        <v/>
      </c>
    </row>
    <row r="168" ht="15.75" customHeight="1">
      <c r="A168" s="39" t="str">
        <f>IF(164&lt;='月度總覽'!$F$5,'月度總覽'!$B$5+164-1,"")</f>
        <v/>
      </c>
      <c r="B168" t="str">
        <f t="shared" si="1"/>
        <v/>
      </c>
      <c r="C168" t="str">
        <f>IF(A168="","",IF(A168&lt;'月度總覽'!$F$6,"已過",IF(A168='月度總覽'!$F$6,"基準日","未來")))</f>
        <v/>
      </c>
      <c r="D168" s="40" t="str">
        <f>IF(A168="","",IF(A168='月度總覽'!$B$8,'月度總覽'!$B$9,0))</f>
        <v/>
      </c>
      <c r="E168" s="40" t="str">
        <f>IF(A168="","",SUMIFS('收支明細'!$E:$E,'收支明細'!$B:$B,"收入",'收支明細'!$A:$A,A168))</f>
        <v/>
      </c>
      <c r="F168" s="40" t="str">
        <f>IF(A168="","",SUMIFS('固定支出'!$C:$C,'固定支出'!$G:$G,"是",'固定支出'!$D:$D,A168))</f>
        <v/>
      </c>
      <c r="G168" s="40" t="str">
        <f>IF(A168="","",SUMIFS('收支明細'!$E:$E,'收支明細'!$B:$B,"支出",'收支明細'!$A:$A,A168))</f>
        <v/>
      </c>
      <c r="H168" s="40" t="str">
        <f>IF(OR(A168="",A168&lt;'月度總覽'!$F$6),0,'月度總覽'!$F$13)</f>
        <v>0.00</v>
      </c>
      <c r="I168" s="40" t="str">
        <f t="shared" si="2"/>
        <v/>
      </c>
      <c r="J168" s="40" t="str">
        <f>IF(OR(A168="",A168&lt;'月度總覽'!$F$6),"",'月度總覽'!$F$12-SUM($H$5:H168)+IF(AND('月度總覽'!$B$10="到帳日自動計入",'月度總覽'!$B$8&gt;'月度總覽'!$B$7,'月度總覽'!$B$8&lt;=A168),'月度總覽'!$B$9,0)+SUMIFS($E$5:E168,$A$5:A168,"&gt;"&amp;'月度總覽'!$B$7)-SUMIFS($G$5:G168,$A$5:A168,"&gt;"&amp;'月度總覽'!$B$7))</f>
        <v/>
      </c>
    </row>
    <row r="169" ht="15.75" customHeight="1">
      <c r="A169" s="39" t="str">
        <f>IF(165&lt;='月度總覽'!$F$5,'月度總覽'!$B$5+165-1,"")</f>
        <v/>
      </c>
      <c r="B169" t="str">
        <f t="shared" si="1"/>
        <v/>
      </c>
      <c r="C169" t="str">
        <f>IF(A169="","",IF(A169&lt;'月度總覽'!$F$6,"已過",IF(A169='月度總覽'!$F$6,"基準日","未來")))</f>
        <v/>
      </c>
      <c r="D169" s="40" t="str">
        <f>IF(A169="","",IF(A169='月度總覽'!$B$8,'月度總覽'!$B$9,0))</f>
        <v/>
      </c>
      <c r="E169" s="40" t="str">
        <f>IF(A169="","",SUMIFS('收支明細'!$E:$E,'收支明細'!$B:$B,"收入",'收支明細'!$A:$A,A169))</f>
        <v/>
      </c>
      <c r="F169" s="40" t="str">
        <f>IF(A169="","",SUMIFS('固定支出'!$C:$C,'固定支出'!$G:$G,"是",'固定支出'!$D:$D,A169))</f>
        <v/>
      </c>
      <c r="G169" s="40" t="str">
        <f>IF(A169="","",SUMIFS('收支明細'!$E:$E,'收支明細'!$B:$B,"支出",'收支明細'!$A:$A,A169))</f>
        <v/>
      </c>
      <c r="H169" s="40" t="str">
        <f>IF(OR(A169="",A169&lt;'月度總覽'!$F$6),0,'月度總覽'!$F$13)</f>
        <v>0.00</v>
      </c>
      <c r="I169" s="40" t="str">
        <f t="shared" si="2"/>
        <v/>
      </c>
      <c r="J169" s="40" t="str">
        <f>IF(OR(A169="",A169&lt;'月度總覽'!$F$6),"",'月度總覽'!$F$12-SUM($H$5:H169)+IF(AND('月度總覽'!$B$10="到帳日自動計入",'月度總覽'!$B$8&gt;'月度總覽'!$B$7,'月度總覽'!$B$8&lt;=A169),'月度總覽'!$B$9,0)+SUMIFS($E$5:E169,$A$5:A169,"&gt;"&amp;'月度總覽'!$B$7)-SUMIFS($G$5:G169,$A$5:A169,"&gt;"&amp;'月度總覽'!$B$7))</f>
        <v/>
      </c>
    </row>
    <row r="170" ht="15.75" customHeight="1">
      <c r="A170" s="39" t="str">
        <f>IF(166&lt;='月度總覽'!$F$5,'月度總覽'!$B$5+166-1,"")</f>
        <v/>
      </c>
      <c r="B170" t="str">
        <f t="shared" si="1"/>
        <v/>
      </c>
      <c r="C170" t="str">
        <f>IF(A170="","",IF(A170&lt;'月度總覽'!$F$6,"已過",IF(A170='月度總覽'!$F$6,"基準日","未來")))</f>
        <v/>
      </c>
      <c r="D170" s="40" t="str">
        <f>IF(A170="","",IF(A170='月度總覽'!$B$8,'月度總覽'!$B$9,0))</f>
        <v/>
      </c>
      <c r="E170" s="40" t="str">
        <f>IF(A170="","",SUMIFS('收支明細'!$E:$E,'收支明細'!$B:$B,"收入",'收支明細'!$A:$A,A170))</f>
        <v/>
      </c>
      <c r="F170" s="40" t="str">
        <f>IF(A170="","",SUMIFS('固定支出'!$C:$C,'固定支出'!$G:$G,"是",'固定支出'!$D:$D,A170))</f>
        <v/>
      </c>
      <c r="G170" s="40" t="str">
        <f>IF(A170="","",SUMIFS('收支明細'!$E:$E,'收支明細'!$B:$B,"支出",'收支明細'!$A:$A,A170))</f>
        <v/>
      </c>
      <c r="H170" s="40" t="str">
        <f>IF(OR(A170="",A170&lt;'月度總覽'!$F$6),0,'月度總覽'!$F$13)</f>
        <v>0.00</v>
      </c>
      <c r="I170" s="40" t="str">
        <f t="shared" si="2"/>
        <v/>
      </c>
      <c r="J170" s="40" t="str">
        <f>IF(OR(A170="",A170&lt;'月度總覽'!$F$6),"",'月度總覽'!$F$12-SUM($H$5:H170)+IF(AND('月度總覽'!$B$10="到帳日自動計入",'月度總覽'!$B$8&gt;'月度總覽'!$B$7,'月度總覽'!$B$8&lt;=A170),'月度總覽'!$B$9,0)+SUMIFS($E$5:E170,$A$5:A170,"&gt;"&amp;'月度總覽'!$B$7)-SUMIFS($G$5:G170,$A$5:A170,"&gt;"&amp;'月度總覽'!$B$7))</f>
        <v/>
      </c>
    </row>
    <row r="171" ht="15.75" customHeight="1">
      <c r="A171" s="39" t="str">
        <f>IF(167&lt;='月度總覽'!$F$5,'月度總覽'!$B$5+167-1,"")</f>
        <v/>
      </c>
      <c r="B171" t="str">
        <f t="shared" si="1"/>
        <v/>
      </c>
      <c r="C171" t="str">
        <f>IF(A171="","",IF(A171&lt;'月度總覽'!$F$6,"已過",IF(A171='月度總覽'!$F$6,"基準日","未來")))</f>
        <v/>
      </c>
      <c r="D171" s="40" t="str">
        <f>IF(A171="","",IF(A171='月度總覽'!$B$8,'月度總覽'!$B$9,0))</f>
        <v/>
      </c>
      <c r="E171" s="40" t="str">
        <f>IF(A171="","",SUMIFS('收支明細'!$E:$E,'收支明細'!$B:$B,"收入",'收支明細'!$A:$A,A171))</f>
        <v/>
      </c>
      <c r="F171" s="40" t="str">
        <f>IF(A171="","",SUMIFS('固定支出'!$C:$C,'固定支出'!$G:$G,"是",'固定支出'!$D:$D,A171))</f>
        <v/>
      </c>
      <c r="G171" s="40" t="str">
        <f>IF(A171="","",SUMIFS('收支明細'!$E:$E,'收支明細'!$B:$B,"支出",'收支明細'!$A:$A,A171))</f>
        <v/>
      </c>
      <c r="H171" s="40" t="str">
        <f>IF(OR(A171="",A171&lt;'月度總覽'!$F$6),0,'月度總覽'!$F$13)</f>
        <v>0.00</v>
      </c>
      <c r="I171" s="40" t="str">
        <f t="shared" si="2"/>
        <v/>
      </c>
      <c r="J171" s="40" t="str">
        <f>IF(OR(A171="",A171&lt;'月度總覽'!$F$6),"",'月度總覽'!$F$12-SUM($H$5:H171)+IF(AND('月度總覽'!$B$10="到帳日自動計入",'月度總覽'!$B$8&gt;'月度總覽'!$B$7,'月度總覽'!$B$8&lt;=A171),'月度總覽'!$B$9,0)+SUMIFS($E$5:E171,$A$5:A171,"&gt;"&amp;'月度總覽'!$B$7)-SUMIFS($G$5:G171,$A$5:A171,"&gt;"&amp;'月度總覽'!$B$7))</f>
        <v/>
      </c>
    </row>
    <row r="172" ht="15.75" customHeight="1">
      <c r="A172" s="39" t="str">
        <f>IF(168&lt;='月度總覽'!$F$5,'月度總覽'!$B$5+168-1,"")</f>
        <v/>
      </c>
      <c r="B172" t="str">
        <f t="shared" si="1"/>
        <v/>
      </c>
      <c r="C172" t="str">
        <f>IF(A172="","",IF(A172&lt;'月度總覽'!$F$6,"已過",IF(A172='月度總覽'!$F$6,"基準日","未來")))</f>
        <v/>
      </c>
      <c r="D172" s="40" t="str">
        <f>IF(A172="","",IF(A172='月度總覽'!$B$8,'月度總覽'!$B$9,0))</f>
        <v/>
      </c>
      <c r="E172" s="40" t="str">
        <f>IF(A172="","",SUMIFS('收支明細'!$E:$E,'收支明細'!$B:$B,"收入",'收支明細'!$A:$A,A172))</f>
        <v/>
      </c>
      <c r="F172" s="40" t="str">
        <f>IF(A172="","",SUMIFS('固定支出'!$C:$C,'固定支出'!$G:$G,"是",'固定支出'!$D:$D,A172))</f>
        <v/>
      </c>
      <c r="G172" s="40" t="str">
        <f>IF(A172="","",SUMIFS('收支明細'!$E:$E,'收支明細'!$B:$B,"支出",'收支明細'!$A:$A,A172))</f>
        <v/>
      </c>
      <c r="H172" s="40" t="str">
        <f>IF(OR(A172="",A172&lt;'月度總覽'!$F$6),0,'月度總覽'!$F$13)</f>
        <v>0.00</v>
      </c>
      <c r="I172" s="40" t="str">
        <f t="shared" si="2"/>
        <v/>
      </c>
      <c r="J172" s="40" t="str">
        <f>IF(OR(A172="",A172&lt;'月度總覽'!$F$6),"",'月度總覽'!$F$12-SUM($H$5:H172)+IF(AND('月度總覽'!$B$10="到帳日自動計入",'月度總覽'!$B$8&gt;'月度總覽'!$B$7,'月度總覽'!$B$8&lt;=A172),'月度總覽'!$B$9,0)+SUMIFS($E$5:E172,$A$5:A172,"&gt;"&amp;'月度總覽'!$B$7)-SUMIFS($G$5:G172,$A$5:A172,"&gt;"&amp;'月度總覽'!$B$7))</f>
        <v/>
      </c>
    </row>
    <row r="173" ht="15.75" customHeight="1">
      <c r="A173" s="39" t="str">
        <f>IF(169&lt;='月度總覽'!$F$5,'月度總覽'!$B$5+169-1,"")</f>
        <v/>
      </c>
      <c r="B173" t="str">
        <f t="shared" si="1"/>
        <v/>
      </c>
      <c r="C173" t="str">
        <f>IF(A173="","",IF(A173&lt;'月度總覽'!$F$6,"已過",IF(A173='月度總覽'!$F$6,"基準日","未來")))</f>
        <v/>
      </c>
      <c r="D173" s="40" t="str">
        <f>IF(A173="","",IF(A173='月度總覽'!$B$8,'月度總覽'!$B$9,0))</f>
        <v/>
      </c>
      <c r="E173" s="40" t="str">
        <f>IF(A173="","",SUMIFS('收支明細'!$E:$E,'收支明細'!$B:$B,"收入",'收支明細'!$A:$A,A173))</f>
        <v/>
      </c>
      <c r="F173" s="40" t="str">
        <f>IF(A173="","",SUMIFS('固定支出'!$C:$C,'固定支出'!$G:$G,"是",'固定支出'!$D:$D,A173))</f>
        <v/>
      </c>
      <c r="G173" s="40" t="str">
        <f>IF(A173="","",SUMIFS('收支明細'!$E:$E,'收支明細'!$B:$B,"支出",'收支明細'!$A:$A,A173))</f>
        <v/>
      </c>
      <c r="H173" s="40" t="str">
        <f>IF(OR(A173="",A173&lt;'月度總覽'!$F$6),0,'月度總覽'!$F$13)</f>
        <v>0.00</v>
      </c>
      <c r="I173" s="40" t="str">
        <f t="shared" si="2"/>
        <v/>
      </c>
      <c r="J173" s="40" t="str">
        <f>IF(OR(A173="",A173&lt;'月度總覽'!$F$6),"",'月度總覽'!$F$12-SUM($H$5:H173)+IF(AND('月度總覽'!$B$10="到帳日自動計入",'月度總覽'!$B$8&gt;'月度總覽'!$B$7,'月度總覽'!$B$8&lt;=A173),'月度總覽'!$B$9,0)+SUMIFS($E$5:E173,$A$5:A173,"&gt;"&amp;'月度總覽'!$B$7)-SUMIFS($G$5:G173,$A$5:A173,"&gt;"&amp;'月度總覽'!$B$7))</f>
        <v/>
      </c>
    </row>
    <row r="174" ht="15.75" customHeight="1">
      <c r="A174" s="39" t="str">
        <f>IF(170&lt;='月度總覽'!$F$5,'月度總覽'!$B$5+170-1,"")</f>
        <v/>
      </c>
      <c r="B174" t="str">
        <f t="shared" si="1"/>
        <v/>
      </c>
      <c r="C174" t="str">
        <f>IF(A174="","",IF(A174&lt;'月度總覽'!$F$6,"已過",IF(A174='月度總覽'!$F$6,"基準日","未來")))</f>
        <v/>
      </c>
      <c r="D174" s="40" t="str">
        <f>IF(A174="","",IF(A174='月度總覽'!$B$8,'月度總覽'!$B$9,0))</f>
        <v/>
      </c>
      <c r="E174" s="40" t="str">
        <f>IF(A174="","",SUMIFS('收支明細'!$E:$E,'收支明細'!$B:$B,"收入",'收支明細'!$A:$A,A174))</f>
        <v/>
      </c>
      <c r="F174" s="40" t="str">
        <f>IF(A174="","",SUMIFS('固定支出'!$C:$C,'固定支出'!$G:$G,"是",'固定支出'!$D:$D,A174))</f>
        <v/>
      </c>
      <c r="G174" s="40" t="str">
        <f>IF(A174="","",SUMIFS('收支明細'!$E:$E,'收支明細'!$B:$B,"支出",'收支明細'!$A:$A,A174))</f>
        <v/>
      </c>
      <c r="H174" s="40" t="str">
        <f>IF(OR(A174="",A174&lt;'月度總覽'!$F$6),0,'月度總覽'!$F$13)</f>
        <v>0.00</v>
      </c>
      <c r="I174" s="40" t="str">
        <f t="shared" si="2"/>
        <v/>
      </c>
      <c r="J174" s="40" t="str">
        <f>IF(OR(A174="",A174&lt;'月度總覽'!$F$6),"",'月度總覽'!$F$12-SUM($H$5:H174)+IF(AND('月度總覽'!$B$10="到帳日自動計入",'月度總覽'!$B$8&gt;'月度總覽'!$B$7,'月度總覽'!$B$8&lt;=A174),'月度總覽'!$B$9,0)+SUMIFS($E$5:E174,$A$5:A174,"&gt;"&amp;'月度總覽'!$B$7)-SUMIFS($G$5:G174,$A$5:A174,"&gt;"&amp;'月度總覽'!$B$7))</f>
        <v/>
      </c>
    </row>
    <row r="175" ht="15.75" customHeight="1">
      <c r="A175" s="39" t="str">
        <f>IF(171&lt;='月度總覽'!$F$5,'月度總覽'!$B$5+171-1,"")</f>
        <v/>
      </c>
      <c r="B175" t="str">
        <f t="shared" si="1"/>
        <v/>
      </c>
      <c r="C175" t="str">
        <f>IF(A175="","",IF(A175&lt;'月度總覽'!$F$6,"已過",IF(A175='月度總覽'!$F$6,"基準日","未來")))</f>
        <v/>
      </c>
      <c r="D175" s="40" t="str">
        <f>IF(A175="","",IF(A175='月度總覽'!$B$8,'月度總覽'!$B$9,0))</f>
        <v/>
      </c>
      <c r="E175" s="40" t="str">
        <f>IF(A175="","",SUMIFS('收支明細'!$E:$E,'收支明細'!$B:$B,"收入",'收支明細'!$A:$A,A175))</f>
        <v/>
      </c>
      <c r="F175" s="40" t="str">
        <f>IF(A175="","",SUMIFS('固定支出'!$C:$C,'固定支出'!$G:$G,"是",'固定支出'!$D:$D,A175))</f>
        <v/>
      </c>
      <c r="G175" s="40" t="str">
        <f>IF(A175="","",SUMIFS('收支明細'!$E:$E,'收支明細'!$B:$B,"支出",'收支明細'!$A:$A,A175))</f>
        <v/>
      </c>
      <c r="H175" s="40" t="str">
        <f>IF(OR(A175="",A175&lt;'月度總覽'!$F$6),0,'月度總覽'!$F$13)</f>
        <v>0.00</v>
      </c>
      <c r="I175" s="40" t="str">
        <f t="shared" si="2"/>
        <v/>
      </c>
      <c r="J175" s="40" t="str">
        <f>IF(OR(A175="",A175&lt;'月度總覽'!$F$6),"",'月度總覽'!$F$12-SUM($H$5:H175)+IF(AND('月度總覽'!$B$10="到帳日自動計入",'月度總覽'!$B$8&gt;'月度總覽'!$B$7,'月度總覽'!$B$8&lt;=A175),'月度總覽'!$B$9,0)+SUMIFS($E$5:E175,$A$5:A175,"&gt;"&amp;'月度總覽'!$B$7)-SUMIFS($G$5:G175,$A$5:A175,"&gt;"&amp;'月度總覽'!$B$7))</f>
        <v/>
      </c>
    </row>
    <row r="176" ht="15.75" customHeight="1">
      <c r="A176" s="39" t="str">
        <f>IF(172&lt;='月度總覽'!$F$5,'月度總覽'!$B$5+172-1,"")</f>
        <v/>
      </c>
      <c r="B176" t="str">
        <f t="shared" si="1"/>
        <v/>
      </c>
      <c r="C176" t="str">
        <f>IF(A176="","",IF(A176&lt;'月度總覽'!$F$6,"已過",IF(A176='月度總覽'!$F$6,"基準日","未來")))</f>
        <v/>
      </c>
      <c r="D176" s="40" t="str">
        <f>IF(A176="","",IF(A176='月度總覽'!$B$8,'月度總覽'!$B$9,0))</f>
        <v/>
      </c>
      <c r="E176" s="40" t="str">
        <f>IF(A176="","",SUMIFS('收支明細'!$E:$E,'收支明細'!$B:$B,"收入",'收支明細'!$A:$A,A176))</f>
        <v/>
      </c>
      <c r="F176" s="40" t="str">
        <f>IF(A176="","",SUMIFS('固定支出'!$C:$C,'固定支出'!$G:$G,"是",'固定支出'!$D:$D,A176))</f>
        <v/>
      </c>
      <c r="G176" s="40" t="str">
        <f>IF(A176="","",SUMIFS('收支明細'!$E:$E,'收支明細'!$B:$B,"支出",'收支明細'!$A:$A,A176))</f>
        <v/>
      </c>
      <c r="H176" s="40" t="str">
        <f>IF(OR(A176="",A176&lt;'月度總覽'!$F$6),0,'月度總覽'!$F$13)</f>
        <v>0.00</v>
      </c>
      <c r="I176" s="40" t="str">
        <f t="shared" si="2"/>
        <v/>
      </c>
      <c r="J176" s="40" t="str">
        <f>IF(OR(A176="",A176&lt;'月度總覽'!$F$6),"",'月度總覽'!$F$12-SUM($H$5:H176)+IF(AND('月度總覽'!$B$10="到帳日自動計入",'月度總覽'!$B$8&gt;'月度總覽'!$B$7,'月度總覽'!$B$8&lt;=A176),'月度總覽'!$B$9,0)+SUMIFS($E$5:E176,$A$5:A176,"&gt;"&amp;'月度總覽'!$B$7)-SUMIFS($G$5:G176,$A$5:A176,"&gt;"&amp;'月度總覽'!$B$7))</f>
        <v/>
      </c>
    </row>
    <row r="177" ht="15.75" customHeight="1">
      <c r="A177" s="39" t="str">
        <f>IF(173&lt;='月度總覽'!$F$5,'月度總覽'!$B$5+173-1,"")</f>
        <v/>
      </c>
      <c r="B177" t="str">
        <f t="shared" si="1"/>
        <v/>
      </c>
      <c r="C177" t="str">
        <f>IF(A177="","",IF(A177&lt;'月度總覽'!$F$6,"已過",IF(A177='月度總覽'!$F$6,"基準日","未來")))</f>
        <v/>
      </c>
      <c r="D177" s="40" t="str">
        <f>IF(A177="","",IF(A177='月度總覽'!$B$8,'月度總覽'!$B$9,0))</f>
        <v/>
      </c>
      <c r="E177" s="40" t="str">
        <f>IF(A177="","",SUMIFS('收支明細'!$E:$E,'收支明細'!$B:$B,"收入",'收支明細'!$A:$A,A177))</f>
        <v/>
      </c>
      <c r="F177" s="40" t="str">
        <f>IF(A177="","",SUMIFS('固定支出'!$C:$C,'固定支出'!$G:$G,"是",'固定支出'!$D:$D,A177))</f>
        <v/>
      </c>
      <c r="G177" s="40" t="str">
        <f>IF(A177="","",SUMIFS('收支明細'!$E:$E,'收支明細'!$B:$B,"支出",'收支明細'!$A:$A,A177))</f>
        <v/>
      </c>
      <c r="H177" s="40" t="str">
        <f>IF(OR(A177="",A177&lt;'月度總覽'!$F$6),0,'月度總覽'!$F$13)</f>
        <v>0.00</v>
      </c>
      <c r="I177" s="40" t="str">
        <f t="shared" si="2"/>
        <v/>
      </c>
      <c r="J177" s="40" t="str">
        <f>IF(OR(A177="",A177&lt;'月度總覽'!$F$6),"",'月度總覽'!$F$12-SUM($H$5:H177)+IF(AND('月度總覽'!$B$10="到帳日自動計入",'月度總覽'!$B$8&gt;'月度總覽'!$B$7,'月度總覽'!$B$8&lt;=A177),'月度總覽'!$B$9,0)+SUMIFS($E$5:E177,$A$5:A177,"&gt;"&amp;'月度總覽'!$B$7)-SUMIFS($G$5:G177,$A$5:A177,"&gt;"&amp;'月度總覽'!$B$7))</f>
        <v/>
      </c>
    </row>
    <row r="178" ht="15.75" customHeight="1">
      <c r="A178" s="39" t="str">
        <f>IF(174&lt;='月度總覽'!$F$5,'月度總覽'!$B$5+174-1,"")</f>
        <v/>
      </c>
      <c r="B178" t="str">
        <f t="shared" si="1"/>
        <v/>
      </c>
      <c r="C178" t="str">
        <f>IF(A178="","",IF(A178&lt;'月度總覽'!$F$6,"已過",IF(A178='月度總覽'!$F$6,"基準日","未來")))</f>
        <v/>
      </c>
      <c r="D178" s="40" t="str">
        <f>IF(A178="","",IF(A178='月度總覽'!$B$8,'月度總覽'!$B$9,0))</f>
        <v/>
      </c>
      <c r="E178" s="40" t="str">
        <f>IF(A178="","",SUMIFS('收支明細'!$E:$E,'收支明細'!$B:$B,"收入",'收支明細'!$A:$A,A178))</f>
        <v/>
      </c>
      <c r="F178" s="40" t="str">
        <f>IF(A178="","",SUMIFS('固定支出'!$C:$C,'固定支出'!$G:$G,"是",'固定支出'!$D:$D,A178))</f>
        <v/>
      </c>
      <c r="G178" s="40" t="str">
        <f>IF(A178="","",SUMIFS('收支明細'!$E:$E,'收支明細'!$B:$B,"支出",'收支明細'!$A:$A,A178))</f>
        <v/>
      </c>
      <c r="H178" s="40" t="str">
        <f>IF(OR(A178="",A178&lt;'月度總覽'!$F$6),0,'月度總覽'!$F$13)</f>
        <v>0.00</v>
      </c>
      <c r="I178" s="40" t="str">
        <f t="shared" si="2"/>
        <v/>
      </c>
      <c r="J178" s="40" t="str">
        <f>IF(OR(A178="",A178&lt;'月度總覽'!$F$6),"",'月度總覽'!$F$12-SUM($H$5:H178)+IF(AND('月度總覽'!$B$10="到帳日自動計入",'月度總覽'!$B$8&gt;'月度總覽'!$B$7,'月度總覽'!$B$8&lt;=A178),'月度總覽'!$B$9,0)+SUMIFS($E$5:E178,$A$5:A178,"&gt;"&amp;'月度總覽'!$B$7)-SUMIFS($G$5:G178,$A$5:A178,"&gt;"&amp;'月度總覽'!$B$7))</f>
        <v/>
      </c>
    </row>
    <row r="179" ht="15.75" customHeight="1">
      <c r="A179" s="39" t="str">
        <f>IF(175&lt;='月度總覽'!$F$5,'月度總覽'!$B$5+175-1,"")</f>
        <v/>
      </c>
      <c r="B179" t="str">
        <f t="shared" si="1"/>
        <v/>
      </c>
      <c r="C179" t="str">
        <f>IF(A179="","",IF(A179&lt;'月度總覽'!$F$6,"已過",IF(A179='月度總覽'!$F$6,"基準日","未來")))</f>
        <v/>
      </c>
      <c r="D179" s="40" t="str">
        <f>IF(A179="","",IF(A179='月度總覽'!$B$8,'月度總覽'!$B$9,0))</f>
        <v/>
      </c>
      <c r="E179" s="40" t="str">
        <f>IF(A179="","",SUMIFS('收支明細'!$E:$E,'收支明細'!$B:$B,"收入",'收支明細'!$A:$A,A179))</f>
        <v/>
      </c>
      <c r="F179" s="40" t="str">
        <f>IF(A179="","",SUMIFS('固定支出'!$C:$C,'固定支出'!$G:$G,"是",'固定支出'!$D:$D,A179))</f>
        <v/>
      </c>
      <c r="G179" s="40" t="str">
        <f>IF(A179="","",SUMIFS('收支明細'!$E:$E,'收支明細'!$B:$B,"支出",'收支明細'!$A:$A,A179))</f>
        <v/>
      </c>
      <c r="H179" s="40" t="str">
        <f>IF(OR(A179="",A179&lt;'月度總覽'!$F$6),0,'月度總覽'!$F$13)</f>
        <v>0.00</v>
      </c>
      <c r="I179" s="40" t="str">
        <f t="shared" si="2"/>
        <v/>
      </c>
      <c r="J179" s="40" t="str">
        <f>IF(OR(A179="",A179&lt;'月度總覽'!$F$6),"",'月度總覽'!$F$12-SUM($H$5:H179)+IF(AND('月度總覽'!$B$10="到帳日自動計入",'月度總覽'!$B$8&gt;'月度總覽'!$B$7,'月度總覽'!$B$8&lt;=A179),'月度總覽'!$B$9,0)+SUMIFS($E$5:E179,$A$5:A179,"&gt;"&amp;'月度總覽'!$B$7)-SUMIFS($G$5:G179,$A$5:A179,"&gt;"&amp;'月度總覽'!$B$7))</f>
        <v/>
      </c>
    </row>
    <row r="180" ht="15.75" customHeight="1">
      <c r="A180" s="39" t="str">
        <f>IF(176&lt;='月度總覽'!$F$5,'月度總覽'!$B$5+176-1,"")</f>
        <v/>
      </c>
      <c r="B180" t="str">
        <f t="shared" si="1"/>
        <v/>
      </c>
      <c r="C180" t="str">
        <f>IF(A180="","",IF(A180&lt;'月度總覽'!$F$6,"已過",IF(A180='月度總覽'!$F$6,"基準日","未來")))</f>
        <v/>
      </c>
      <c r="D180" s="40" t="str">
        <f>IF(A180="","",IF(A180='月度總覽'!$B$8,'月度總覽'!$B$9,0))</f>
        <v/>
      </c>
      <c r="E180" s="40" t="str">
        <f>IF(A180="","",SUMIFS('收支明細'!$E:$E,'收支明細'!$B:$B,"收入",'收支明細'!$A:$A,A180))</f>
        <v/>
      </c>
      <c r="F180" s="40" t="str">
        <f>IF(A180="","",SUMIFS('固定支出'!$C:$C,'固定支出'!$G:$G,"是",'固定支出'!$D:$D,A180))</f>
        <v/>
      </c>
      <c r="G180" s="40" t="str">
        <f>IF(A180="","",SUMIFS('收支明細'!$E:$E,'收支明細'!$B:$B,"支出",'收支明細'!$A:$A,A180))</f>
        <v/>
      </c>
      <c r="H180" s="40" t="str">
        <f>IF(OR(A180="",A180&lt;'月度總覽'!$F$6),0,'月度總覽'!$F$13)</f>
        <v>0.00</v>
      </c>
      <c r="I180" s="40" t="str">
        <f t="shared" si="2"/>
        <v/>
      </c>
      <c r="J180" s="40" t="str">
        <f>IF(OR(A180="",A180&lt;'月度總覽'!$F$6),"",'月度總覽'!$F$12-SUM($H$5:H180)+IF(AND('月度總覽'!$B$10="到帳日自動計入",'月度總覽'!$B$8&gt;'月度總覽'!$B$7,'月度總覽'!$B$8&lt;=A180),'月度總覽'!$B$9,0)+SUMIFS($E$5:E180,$A$5:A180,"&gt;"&amp;'月度總覽'!$B$7)-SUMIFS($G$5:G180,$A$5:A180,"&gt;"&amp;'月度總覽'!$B$7))</f>
        <v/>
      </c>
    </row>
    <row r="181" ht="15.75" customHeight="1">
      <c r="A181" s="39" t="str">
        <f>IF(177&lt;='月度總覽'!$F$5,'月度總覽'!$B$5+177-1,"")</f>
        <v/>
      </c>
      <c r="B181" t="str">
        <f t="shared" si="1"/>
        <v/>
      </c>
      <c r="C181" t="str">
        <f>IF(A181="","",IF(A181&lt;'月度總覽'!$F$6,"已過",IF(A181='月度總覽'!$F$6,"基準日","未來")))</f>
        <v/>
      </c>
      <c r="D181" s="40" t="str">
        <f>IF(A181="","",IF(A181='月度總覽'!$B$8,'月度總覽'!$B$9,0))</f>
        <v/>
      </c>
      <c r="E181" s="40" t="str">
        <f>IF(A181="","",SUMIFS('收支明細'!$E:$E,'收支明細'!$B:$B,"收入",'收支明細'!$A:$A,A181))</f>
        <v/>
      </c>
      <c r="F181" s="40" t="str">
        <f>IF(A181="","",SUMIFS('固定支出'!$C:$C,'固定支出'!$G:$G,"是",'固定支出'!$D:$D,A181))</f>
        <v/>
      </c>
      <c r="G181" s="40" t="str">
        <f>IF(A181="","",SUMIFS('收支明細'!$E:$E,'收支明細'!$B:$B,"支出",'收支明細'!$A:$A,A181))</f>
        <v/>
      </c>
      <c r="H181" s="40" t="str">
        <f>IF(OR(A181="",A181&lt;'月度總覽'!$F$6),0,'月度總覽'!$F$13)</f>
        <v>0.00</v>
      </c>
      <c r="I181" s="40" t="str">
        <f t="shared" si="2"/>
        <v/>
      </c>
      <c r="J181" s="40" t="str">
        <f>IF(OR(A181="",A181&lt;'月度總覽'!$F$6),"",'月度總覽'!$F$12-SUM($H$5:H181)+IF(AND('月度總覽'!$B$10="到帳日自動計入",'月度總覽'!$B$8&gt;'月度總覽'!$B$7,'月度總覽'!$B$8&lt;=A181),'月度總覽'!$B$9,0)+SUMIFS($E$5:E181,$A$5:A181,"&gt;"&amp;'月度總覽'!$B$7)-SUMIFS($G$5:G181,$A$5:A181,"&gt;"&amp;'月度總覽'!$B$7))</f>
        <v/>
      </c>
    </row>
    <row r="182" ht="15.75" customHeight="1">
      <c r="A182" s="39" t="str">
        <f>IF(178&lt;='月度總覽'!$F$5,'月度總覽'!$B$5+178-1,"")</f>
        <v/>
      </c>
      <c r="B182" t="str">
        <f t="shared" si="1"/>
        <v/>
      </c>
      <c r="C182" t="str">
        <f>IF(A182="","",IF(A182&lt;'月度總覽'!$F$6,"已過",IF(A182='月度總覽'!$F$6,"基準日","未來")))</f>
        <v/>
      </c>
      <c r="D182" s="40" t="str">
        <f>IF(A182="","",IF(A182='月度總覽'!$B$8,'月度總覽'!$B$9,0))</f>
        <v/>
      </c>
      <c r="E182" s="40" t="str">
        <f>IF(A182="","",SUMIFS('收支明細'!$E:$E,'收支明細'!$B:$B,"收入",'收支明細'!$A:$A,A182))</f>
        <v/>
      </c>
      <c r="F182" s="40" t="str">
        <f>IF(A182="","",SUMIFS('固定支出'!$C:$C,'固定支出'!$G:$G,"是",'固定支出'!$D:$D,A182))</f>
        <v/>
      </c>
      <c r="G182" s="40" t="str">
        <f>IF(A182="","",SUMIFS('收支明細'!$E:$E,'收支明細'!$B:$B,"支出",'收支明細'!$A:$A,A182))</f>
        <v/>
      </c>
      <c r="H182" s="40" t="str">
        <f>IF(OR(A182="",A182&lt;'月度總覽'!$F$6),0,'月度總覽'!$F$13)</f>
        <v>0.00</v>
      </c>
      <c r="I182" s="40" t="str">
        <f t="shared" si="2"/>
        <v/>
      </c>
      <c r="J182" s="40" t="str">
        <f>IF(OR(A182="",A182&lt;'月度總覽'!$F$6),"",'月度總覽'!$F$12-SUM($H$5:H182)+IF(AND('月度總覽'!$B$10="到帳日自動計入",'月度總覽'!$B$8&gt;'月度總覽'!$B$7,'月度總覽'!$B$8&lt;=A182),'月度總覽'!$B$9,0)+SUMIFS($E$5:E182,$A$5:A182,"&gt;"&amp;'月度總覽'!$B$7)-SUMIFS($G$5:G182,$A$5:A182,"&gt;"&amp;'月度總覽'!$B$7))</f>
        <v/>
      </c>
    </row>
    <row r="183" ht="15.75" customHeight="1">
      <c r="A183" s="39" t="str">
        <f>IF(179&lt;='月度總覽'!$F$5,'月度總覽'!$B$5+179-1,"")</f>
        <v/>
      </c>
      <c r="B183" t="str">
        <f t="shared" si="1"/>
        <v/>
      </c>
      <c r="C183" t="str">
        <f>IF(A183="","",IF(A183&lt;'月度總覽'!$F$6,"已過",IF(A183='月度總覽'!$F$6,"基準日","未來")))</f>
        <v/>
      </c>
      <c r="D183" s="40" t="str">
        <f>IF(A183="","",IF(A183='月度總覽'!$B$8,'月度總覽'!$B$9,0))</f>
        <v/>
      </c>
      <c r="E183" s="40" t="str">
        <f>IF(A183="","",SUMIFS('收支明細'!$E:$E,'收支明細'!$B:$B,"收入",'收支明細'!$A:$A,A183))</f>
        <v/>
      </c>
      <c r="F183" s="40" t="str">
        <f>IF(A183="","",SUMIFS('固定支出'!$C:$C,'固定支出'!$G:$G,"是",'固定支出'!$D:$D,A183))</f>
        <v/>
      </c>
      <c r="G183" s="40" t="str">
        <f>IF(A183="","",SUMIFS('收支明細'!$E:$E,'收支明細'!$B:$B,"支出",'收支明細'!$A:$A,A183))</f>
        <v/>
      </c>
      <c r="H183" s="40" t="str">
        <f>IF(OR(A183="",A183&lt;'月度總覽'!$F$6),0,'月度總覽'!$F$13)</f>
        <v>0.00</v>
      </c>
      <c r="I183" s="40" t="str">
        <f t="shared" si="2"/>
        <v/>
      </c>
      <c r="J183" s="40" t="str">
        <f>IF(OR(A183="",A183&lt;'月度總覽'!$F$6),"",'月度總覽'!$F$12-SUM($H$5:H183)+IF(AND('月度總覽'!$B$10="到帳日自動計入",'月度總覽'!$B$8&gt;'月度總覽'!$B$7,'月度總覽'!$B$8&lt;=A183),'月度總覽'!$B$9,0)+SUMIFS($E$5:E183,$A$5:A183,"&gt;"&amp;'月度總覽'!$B$7)-SUMIFS($G$5:G183,$A$5:A183,"&gt;"&amp;'月度總覽'!$B$7))</f>
        <v/>
      </c>
    </row>
    <row r="184" ht="15.75" customHeight="1">
      <c r="A184" s="39" t="str">
        <f>IF(180&lt;='月度總覽'!$F$5,'月度總覽'!$B$5+180-1,"")</f>
        <v/>
      </c>
      <c r="B184" t="str">
        <f t="shared" si="1"/>
        <v/>
      </c>
      <c r="C184" t="str">
        <f>IF(A184="","",IF(A184&lt;'月度總覽'!$F$6,"已過",IF(A184='月度總覽'!$F$6,"基準日","未來")))</f>
        <v/>
      </c>
      <c r="D184" s="40" t="str">
        <f>IF(A184="","",IF(A184='月度總覽'!$B$8,'月度總覽'!$B$9,0))</f>
        <v/>
      </c>
      <c r="E184" s="40" t="str">
        <f>IF(A184="","",SUMIFS('收支明細'!$E:$E,'收支明細'!$B:$B,"收入",'收支明細'!$A:$A,A184))</f>
        <v/>
      </c>
      <c r="F184" s="40" t="str">
        <f>IF(A184="","",SUMIFS('固定支出'!$C:$C,'固定支出'!$G:$G,"是",'固定支出'!$D:$D,A184))</f>
        <v/>
      </c>
      <c r="G184" s="40" t="str">
        <f>IF(A184="","",SUMIFS('收支明細'!$E:$E,'收支明細'!$B:$B,"支出",'收支明細'!$A:$A,A184))</f>
        <v/>
      </c>
      <c r="H184" s="40" t="str">
        <f>IF(OR(A184="",A184&lt;'月度總覽'!$F$6),0,'月度總覽'!$F$13)</f>
        <v>0.00</v>
      </c>
      <c r="I184" s="40" t="str">
        <f t="shared" si="2"/>
        <v/>
      </c>
      <c r="J184" s="40" t="str">
        <f>IF(OR(A184="",A184&lt;'月度總覽'!$F$6),"",'月度總覽'!$F$12-SUM($H$5:H184)+IF(AND('月度總覽'!$B$10="到帳日自動計入",'月度總覽'!$B$8&gt;'月度總覽'!$B$7,'月度總覽'!$B$8&lt;=A184),'月度總覽'!$B$9,0)+SUMIFS($E$5:E184,$A$5:A184,"&gt;"&amp;'月度總覽'!$B$7)-SUMIFS($G$5:G184,$A$5:A184,"&gt;"&amp;'月度總覽'!$B$7))</f>
        <v/>
      </c>
    </row>
    <row r="185" ht="15.75" customHeight="1">
      <c r="A185" s="39" t="str">
        <f>IF(181&lt;='月度總覽'!$F$5,'月度總覽'!$B$5+181-1,"")</f>
        <v/>
      </c>
      <c r="B185" t="str">
        <f t="shared" si="1"/>
        <v/>
      </c>
      <c r="C185" t="str">
        <f>IF(A185="","",IF(A185&lt;'月度總覽'!$F$6,"已過",IF(A185='月度總覽'!$F$6,"基準日","未來")))</f>
        <v/>
      </c>
      <c r="D185" s="40" t="str">
        <f>IF(A185="","",IF(A185='月度總覽'!$B$8,'月度總覽'!$B$9,0))</f>
        <v/>
      </c>
      <c r="E185" s="40" t="str">
        <f>IF(A185="","",SUMIFS('收支明細'!$E:$E,'收支明細'!$B:$B,"收入",'收支明細'!$A:$A,A185))</f>
        <v/>
      </c>
      <c r="F185" s="40" t="str">
        <f>IF(A185="","",SUMIFS('固定支出'!$C:$C,'固定支出'!$G:$G,"是",'固定支出'!$D:$D,A185))</f>
        <v/>
      </c>
      <c r="G185" s="40" t="str">
        <f>IF(A185="","",SUMIFS('收支明細'!$E:$E,'收支明細'!$B:$B,"支出",'收支明細'!$A:$A,A185))</f>
        <v/>
      </c>
      <c r="H185" s="40" t="str">
        <f>IF(OR(A185="",A185&lt;'月度總覽'!$F$6),0,'月度總覽'!$F$13)</f>
        <v>0.00</v>
      </c>
      <c r="I185" s="40" t="str">
        <f t="shared" si="2"/>
        <v/>
      </c>
      <c r="J185" s="40" t="str">
        <f>IF(OR(A185="",A185&lt;'月度總覽'!$F$6),"",'月度總覽'!$F$12-SUM($H$5:H185)+IF(AND('月度總覽'!$B$10="到帳日自動計入",'月度總覽'!$B$8&gt;'月度總覽'!$B$7,'月度總覽'!$B$8&lt;=A185),'月度總覽'!$B$9,0)+SUMIFS($E$5:E185,$A$5:A185,"&gt;"&amp;'月度總覽'!$B$7)-SUMIFS($G$5:G185,$A$5:A185,"&gt;"&amp;'月度總覽'!$B$7))</f>
        <v/>
      </c>
    </row>
    <row r="186" ht="15.75" customHeight="1">
      <c r="A186" s="39" t="str">
        <f>IF(182&lt;='月度總覽'!$F$5,'月度總覽'!$B$5+182-1,"")</f>
        <v/>
      </c>
      <c r="B186" t="str">
        <f t="shared" si="1"/>
        <v/>
      </c>
      <c r="C186" t="str">
        <f>IF(A186="","",IF(A186&lt;'月度總覽'!$F$6,"已過",IF(A186='月度總覽'!$F$6,"基準日","未來")))</f>
        <v/>
      </c>
      <c r="D186" s="40" t="str">
        <f>IF(A186="","",IF(A186='月度總覽'!$B$8,'月度總覽'!$B$9,0))</f>
        <v/>
      </c>
      <c r="E186" s="40" t="str">
        <f>IF(A186="","",SUMIFS('收支明細'!$E:$E,'收支明細'!$B:$B,"收入",'收支明細'!$A:$A,A186))</f>
        <v/>
      </c>
      <c r="F186" s="40" t="str">
        <f>IF(A186="","",SUMIFS('固定支出'!$C:$C,'固定支出'!$G:$G,"是",'固定支出'!$D:$D,A186))</f>
        <v/>
      </c>
      <c r="G186" s="40" t="str">
        <f>IF(A186="","",SUMIFS('收支明細'!$E:$E,'收支明細'!$B:$B,"支出",'收支明細'!$A:$A,A186))</f>
        <v/>
      </c>
      <c r="H186" s="40" t="str">
        <f>IF(OR(A186="",A186&lt;'月度總覽'!$F$6),0,'月度總覽'!$F$13)</f>
        <v>0.00</v>
      </c>
      <c r="I186" s="40" t="str">
        <f t="shared" si="2"/>
        <v/>
      </c>
      <c r="J186" s="40" t="str">
        <f>IF(OR(A186="",A186&lt;'月度總覽'!$F$6),"",'月度總覽'!$F$12-SUM($H$5:H186)+IF(AND('月度總覽'!$B$10="到帳日自動計入",'月度總覽'!$B$8&gt;'月度總覽'!$B$7,'月度總覽'!$B$8&lt;=A186),'月度總覽'!$B$9,0)+SUMIFS($E$5:E186,$A$5:A186,"&gt;"&amp;'月度總覽'!$B$7)-SUMIFS($G$5:G186,$A$5:A186,"&gt;"&amp;'月度總覽'!$B$7))</f>
        <v/>
      </c>
    </row>
    <row r="187" ht="15.75" customHeight="1">
      <c r="A187" s="39" t="str">
        <f>IF(183&lt;='月度總覽'!$F$5,'月度總覽'!$B$5+183-1,"")</f>
        <v/>
      </c>
      <c r="B187" t="str">
        <f t="shared" si="1"/>
        <v/>
      </c>
      <c r="C187" t="str">
        <f>IF(A187="","",IF(A187&lt;'月度總覽'!$F$6,"已過",IF(A187='月度總覽'!$F$6,"基準日","未來")))</f>
        <v/>
      </c>
      <c r="D187" s="40" t="str">
        <f>IF(A187="","",IF(A187='月度總覽'!$B$8,'月度總覽'!$B$9,0))</f>
        <v/>
      </c>
      <c r="E187" s="40" t="str">
        <f>IF(A187="","",SUMIFS('收支明細'!$E:$E,'收支明細'!$B:$B,"收入",'收支明細'!$A:$A,A187))</f>
        <v/>
      </c>
      <c r="F187" s="40" t="str">
        <f>IF(A187="","",SUMIFS('固定支出'!$C:$C,'固定支出'!$G:$G,"是",'固定支出'!$D:$D,A187))</f>
        <v/>
      </c>
      <c r="G187" s="40" t="str">
        <f>IF(A187="","",SUMIFS('收支明細'!$E:$E,'收支明細'!$B:$B,"支出",'收支明細'!$A:$A,A187))</f>
        <v/>
      </c>
      <c r="H187" s="40" t="str">
        <f>IF(OR(A187="",A187&lt;'月度總覽'!$F$6),0,'月度總覽'!$F$13)</f>
        <v>0.00</v>
      </c>
      <c r="I187" s="40" t="str">
        <f t="shared" si="2"/>
        <v/>
      </c>
      <c r="J187" s="40" t="str">
        <f>IF(OR(A187="",A187&lt;'月度總覽'!$F$6),"",'月度總覽'!$F$12-SUM($H$5:H187)+IF(AND('月度總覽'!$B$10="到帳日自動計入",'月度總覽'!$B$8&gt;'月度總覽'!$B$7,'月度總覽'!$B$8&lt;=A187),'月度總覽'!$B$9,0)+SUMIFS($E$5:E187,$A$5:A187,"&gt;"&amp;'月度總覽'!$B$7)-SUMIFS($G$5:G187,$A$5:A187,"&gt;"&amp;'月度總覽'!$B$7))</f>
        <v/>
      </c>
    </row>
    <row r="188" ht="15.75" customHeight="1">
      <c r="A188" s="39" t="str">
        <f>IF(184&lt;='月度總覽'!$F$5,'月度總覽'!$B$5+184-1,"")</f>
        <v/>
      </c>
      <c r="B188" t="str">
        <f t="shared" si="1"/>
        <v/>
      </c>
      <c r="C188" t="str">
        <f>IF(A188="","",IF(A188&lt;'月度總覽'!$F$6,"已過",IF(A188='月度總覽'!$F$6,"基準日","未來")))</f>
        <v/>
      </c>
      <c r="D188" s="40" t="str">
        <f>IF(A188="","",IF(A188='月度總覽'!$B$8,'月度總覽'!$B$9,0))</f>
        <v/>
      </c>
      <c r="E188" s="40" t="str">
        <f>IF(A188="","",SUMIFS('收支明細'!$E:$E,'收支明細'!$B:$B,"收入",'收支明細'!$A:$A,A188))</f>
        <v/>
      </c>
      <c r="F188" s="40" t="str">
        <f>IF(A188="","",SUMIFS('固定支出'!$C:$C,'固定支出'!$G:$G,"是",'固定支出'!$D:$D,A188))</f>
        <v/>
      </c>
      <c r="G188" s="40" t="str">
        <f>IF(A188="","",SUMIFS('收支明細'!$E:$E,'收支明細'!$B:$B,"支出",'收支明細'!$A:$A,A188))</f>
        <v/>
      </c>
      <c r="H188" s="40" t="str">
        <f>IF(OR(A188="",A188&lt;'月度總覽'!$F$6),0,'月度總覽'!$F$13)</f>
        <v>0.00</v>
      </c>
      <c r="I188" s="40" t="str">
        <f t="shared" si="2"/>
        <v/>
      </c>
      <c r="J188" s="40" t="str">
        <f>IF(OR(A188="",A188&lt;'月度總覽'!$F$6),"",'月度總覽'!$F$12-SUM($H$5:H188)+IF(AND('月度總覽'!$B$10="到帳日自動計入",'月度總覽'!$B$8&gt;'月度總覽'!$B$7,'月度總覽'!$B$8&lt;=A188),'月度總覽'!$B$9,0)+SUMIFS($E$5:E188,$A$5:A188,"&gt;"&amp;'月度總覽'!$B$7)-SUMIFS($G$5:G188,$A$5:A188,"&gt;"&amp;'月度總覽'!$B$7))</f>
        <v/>
      </c>
    </row>
    <row r="189" ht="15.75" customHeight="1">
      <c r="A189" s="39" t="str">
        <f>IF(185&lt;='月度總覽'!$F$5,'月度總覽'!$B$5+185-1,"")</f>
        <v/>
      </c>
      <c r="B189" t="str">
        <f t="shared" si="1"/>
        <v/>
      </c>
      <c r="C189" t="str">
        <f>IF(A189="","",IF(A189&lt;'月度總覽'!$F$6,"已過",IF(A189='月度總覽'!$F$6,"基準日","未來")))</f>
        <v/>
      </c>
      <c r="D189" s="40" t="str">
        <f>IF(A189="","",IF(A189='月度總覽'!$B$8,'月度總覽'!$B$9,0))</f>
        <v/>
      </c>
      <c r="E189" s="40" t="str">
        <f>IF(A189="","",SUMIFS('收支明細'!$E:$E,'收支明細'!$B:$B,"收入",'收支明細'!$A:$A,A189))</f>
        <v/>
      </c>
      <c r="F189" s="40" t="str">
        <f>IF(A189="","",SUMIFS('固定支出'!$C:$C,'固定支出'!$G:$G,"是",'固定支出'!$D:$D,A189))</f>
        <v/>
      </c>
      <c r="G189" s="40" t="str">
        <f>IF(A189="","",SUMIFS('收支明細'!$E:$E,'收支明細'!$B:$B,"支出",'收支明細'!$A:$A,A189))</f>
        <v/>
      </c>
      <c r="H189" s="40" t="str">
        <f>IF(OR(A189="",A189&lt;'月度總覽'!$F$6),0,'月度總覽'!$F$13)</f>
        <v>0.00</v>
      </c>
      <c r="I189" s="40" t="str">
        <f t="shared" si="2"/>
        <v/>
      </c>
      <c r="J189" s="40" t="str">
        <f>IF(OR(A189="",A189&lt;'月度總覽'!$F$6),"",'月度總覽'!$F$12-SUM($H$5:H189)+IF(AND('月度總覽'!$B$10="到帳日自動計入",'月度總覽'!$B$8&gt;'月度總覽'!$B$7,'月度總覽'!$B$8&lt;=A189),'月度總覽'!$B$9,0)+SUMIFS($E$5:E189,$A$5:A189,"&gt;"&amp;'月度總覽'!$B$7)-SUMIFS($G$5:G189,$A$5:A189,"&gt;"&amp;'月度總覽'!$B$7))</f>
        <v/>
      </c>
    </row>
    <row r="190" ht="15.75" customHeight="1">
      <c r="A190" s="39" t="str">
        <f>IF(186&lt;='月度總覽'!$F$5,'月度總覽'!$B$5+186-1,"")</f>
        <v/>
      </c>
      <c r="B190" t="str">
        <f t="shared" si="1"/>
        <v/>
      </c>
      <c r="C190" t="str">
        <f>IF(A190="","",IF(A190&lt;'月度總覽'!$F$6,"已過",IF(A190='月度總覽'!$F$6,"基準日","未來")))</f>
        <v/>
      </c>
      <c r="D190" s="40" t="str">
        <f>IF(A190="","",IF(A190='月度總覽'!$B$8,'月度總覽'!$B$9,0))</f>
        <v/>
      </c>
      <c r="E190" s="40" t="str">
        <f>IF(A190="","",SUMIFS('收支明細'!$E:$E,'收支明細'!$B:$B,"收入",'收支明細'!$A:$A,A190))</f>
        <v/>
      </c>
      <c r="F190" s="40" t="str">
        <f>IF(A190="","",SUMIFS('固定支出'!$C:$C,'固定支出'!$G:$G,"是",'固定支出'!$D:$D,A190))</f>
        <v/>
      </c>
      <c r="G190" s="40" t="str">
        <f>IF(A190="","",SUMIFS('收支明細'!$E:$E,'收支明細'!$B:$B,"支出",'收支明細'!$A:$A,A190))</f>
        <v/>
      </c>
      <c r="H190" s="40" t="str">
        <f>IF(OR(A190="",A190&lt;'月度總覽'!$F$6),0,'月度總覽'!$F$13)</f>
        <v>0.00</v>
      </c>
      <c r="I190" s="40" t="str">
        <f t="shared" si="2"/>
        <v/>
      </c>
      <c r="J190" s="40" t="str">
        <f>IF(OR(A190="",A190&lt;'月度總覽'!$F$6),"",'月度總覽'!$F$12-SUM($H$5:H190)+IF(AND('月度總覽'!$B$10="到帳日自動計入",'月度總覽'!$B$8&gt;'月度總覽'!$B$7,'月度總覽'!$B$8&lt;=A190),'月度總覽'!$B$9,0)+SUMIFS($E$5:E190,$A$5:A190,"&gt;"&amp;'月度總覽'!$B$7)-SUMIFS($G$5:G190,$A$5:A190,"&gt;"&amp;'月度總覽'!$B$7))</f>
        <v/>
      </c>
    </row>
    <row r="191" ht="15.75" customHeight="1">
      <c r="A191" s="39" t="str">
        <f>IF(187&lt;='月度總覽'!$F$5,'月度總覽'!$B$5+187-1,"")</f>
        <v/>
      </c>
      <c r="B191" t="str">
        <f t="shared" si="1"/>
        <v/>
      </c>
      <c r="C191" t="str">
        <f>IF(A191="","",IF(A191&lt;'月度總覽'!$F$6,"已過",IF(A191='月度總覽'!$F$6,"基準日","未來")))</f>
        <v/>
      </c>
      <c r="D191" s="40" t="str">
        <f>IF(A191="","",IF(A191='月度總覽'!$B$8,'月度總覽'!$B$9,0))</f>
        <v/>
      </c>
      <c r="E191" s="40" t="str">
        <f>IF(A191="","",SUMIFS('收支明細'!$E:$E,'收支明細'!$B:$B,"收入",'收支明細'!$A:$A,A191))</f>
        <v/>
      </c>
      <c r="F191" s="40" t="str">
        <f>IF(A191="","",SUMIFS('固定支出'!$C:$C,'固定支出'!$G:$G,"是",'固定支出'!$D:$D,A191))</f>
        <v/>
      </c>
      <c r="G191" s="40" t="str">
        <f>IF(A191="","",SUMIFS('收支明細'!$E:$E,'收支明細'!$B:$B,"支出",'收支明細'!$A:$A,A191))</f>
        <v/>
      </c>
      <c r="H191" s="40" t="str">
        <f>IF(OR(A191="",A191&lt;'月度總覽'!$F$6),0,'月度總覽'!$F$13)</f>
        <v>0.00</v>
      </c>
      <c r="I191" s="40" t="str">
        <f t="shared" si="2"/>
        <v/>
      </c>
      <c r="J191" s="40" t="str">
        <f>IF(OR(A191="",A191&lt;'月度總覽'!$F$6),"",'月度總覽'!$F$12-SUM($H$5:H191)+IF(AND('月度總覽'!$B$10="到帳日自動計入",'月度總覽'!$B$8&gt;'月度總覽'!$B$7,'月度總覽'!$B$8&lt;=A191),'月度總覽'!$B$9,0)+SUMIFS($E$5:E191,$A$5:A191,"&gt;"&amp;'月度總覽'!$B$7)-SUMIFS($G$5:G191,$A$5:A191,"&gt;"&amp;'月度總覽'!$B$7))</f>
        <v/>
      </c>
    </row>
    <row r="192" ht="15.75" customHeight="1">
      <c r="A192" s="39" t="str">
        <f>IF(188&lt;='月度總覽'!$F$5,'月度總覽'!$B$5+188-1,"")</f>
        <v/>
      </c>
      <c r="B192" t="str">
        <f t="shared" si="1"/>
        <v/>
      </c>
      <c r="C192" t="str">
        <f>IF(A192="","",IF(A192&lt;'月度總覽'!$F$6,"已過",IF(A192='月度總覽'!$F$6,"基準日","未來")))</f>
        <v/>
      </c>
      <c r="D192" s="40" t="str">
        <f>IF(A192="","",IF(A192='月度總覽'!$B$8,'月度總覽'!$B$9,0))</f>
        <v/>
      </c>
      <c r="E192" s="40" t="str">
        <f>IF(A192="","",SUMIFS('收支明細'!$E:$E,'收支明細'!$B:$B,"收入",'收支明細'!$A:$A,A192))</f>
        <v/>
      </c>
      <c r="F192" s="40" t="str">
        <f>IF(A192="","",SUMIFS('固定支出'!$C:$C,'固定支出'!$G:$G,"是",'固定支出'!$D:$D,A192))</f>
        <v/>
      </c>
      <c r="G192" s="40" t="str">
        <f>IF(A192="","",SUMIFS('收支明細'!$E:$E,'收支明細'!$B:$B,"支出",'收支明細'!$A:$A,A192))</f>
        <v/>
      </c>
      <c r="H192" s="40" t="str">
        <f>IF(OR(A192="",A192&lt;'月度總覽'!$F$6),0,'月度總覽'!$F$13)</f>
        <v>0.00</v>
      </c>
      <c r="I192" s="40" t="str">
        <f t="shared" si="2"/>
        <v/>
      </c>
      <c r="J192" s="40" t="str">
        <f>IF(OR(A192="",A192&lt;'月度總覽'!$F$6),"",'月度總覽'!$F$12-SUM($H$5:H192)+IF(AND('月度總覽'!$B$10="到帳日自動計入",'月度總覽'!$B$8&gt;'月度總覽'!$B$7,'月度總覽'!$B$8&lt;=A192),'月度總覽'!$B$9,0)+SUMIFS($E$5:E192,$A$5:A192,"&gt;"&amp;'月度總覽'!$B$7)-SUMIFS($G$5:G192,$A$5:A192,"&gt;"&amp;'月度總覽'!$B$7))</f>
        <v/>
      </c>
    </row>
    <row r="193" ht="15.75" customHeight="1">
      <c r="A193" s="39" t="str">
        <f>IF(189&lt;='月度總覽'!$F$5,'月度總覽'!$B$5+189-1,"")</f>
        <v/>
      </c>
      <c r="B193" t="str">
        <f t="shared" si="1"/>
        <v/>
      </c>
      <c r="C193" t="str">
        <f>IF(A193="","",IF(A193&lt;'月度總覽'!$F$6,"已過",IF(A193='月度總覽'!$F$6,"基準日","未來")))</f>
        <v/>
      </c>
      <c r="D193" s="40" t="str">
        <f>IF(A193="","",IF(A193='月度總覽'!$B$8,'月度總覽'!$B$9,0))</f>
        <v/>
      </c>
      <c r="E193" s="40" t="str">
        <f>IF(A193="","",SUMIFS('收支明細'!$E:$E,'收支明細'!$B:$B,"收入",'收支明細'!$A:$A,A193))</f>
        <v/>
      </c>
      <c r="F193" s="40" t="str">
        <f>IF(A193="","",SUMIFS('固定支出'!$C:$C,'固定支出'!$G:$G,"是",'固定支出'!$D:$D,A193))</f>
        <v/>
      </c>
      <c r="G193" s="40" t="str">
        <f>IF(A193="","",SUMIFS('收支明細'!$E:$E,'收支明細'!$B:$B,"支出",'收支明細'!$A:$A,A193))</f>
        <v/>
      </c>
      <c r="H193" s="40" t="str">
        <f>IF(OR(A193="",A193&lt;'月度總覽'!$F$6),0,'月度總覽'!$F$13)</f>
        <v>0.00</v>
      </c>
      <c r="I193" s="40" t="str">
        <f t="shared" si="2"/>
        <v/>
      </c>
      <c r="J193" s="40" t="str">
        <f>IF(OR(A193="",A193&lt;'月度總覽'!$F$6),"",'月度總覽'!$F$12-SUM($H$5:H193)+IF(AND('月度總覽'!$B$10="到帳日自動計入",'月度總覽'!$B$8&gt;'月度總覽'!$B$7,'月度總覽'!$B$8&lt;=A193),'月度總覽'!$B$9,0)+SUMIFS($E$5:E193,$A$5:A193,"&gt;"&amp;'月度總覽'!$B$7)-SUMIFS($G$5:G193,$A$5:A193,"&gt;"&amp;'月度總覽'!$B$7))</f>
        <v/>
      </c>
    </row>
    <row r="194" ht="15.75" customHeight="1">
      <c r="A194" s="39" t="str">
        <f>IF(190&lt;='月度總覽'!$F$5,'月度總覽'!$B$5+190-1,"")</f>
        <v/>
      </c>
      <c r="B194" t="str">
        <f t="shared" si="1"/>
        <v/>
      </c>
      <c r="C194" t="str">
        <f>IF(A194="","",IF(A194&lt;'月度總覽'!$F$6,"已過",IF(A194='月度總覽'!$F$6,"基準日","未來")))</f>
        <v/>
      </c>
      <c r="D194" s="40" t="str">
        <f>IF(A194="","",IF(A194='月度總覽'!$B$8,'月度總覽'!$B$9,0))</f>
        <v/>
      </c>
      <c r="E194" s="40" t="str">
        <f>IF(A194="","",SUMIFS('收支明細'!$E:$E,'收支明細'!$B:$B,"收入",'收支明細'!$A:$A,A194))</f>
        <v/>
      </c>
      <c r="F194" s="40" t="str">
        <f>IF(A194="","",SUMIFS('固定支出'!$C:$C,'固定支出'!$G:$G,"是",'固定支出'!$D:$D,A194))</f>
        <v/>
      </c>
      <c r="G194" s="40" t="str">
        <f>IF(A194="","",SUMIFS('收支明細'!$E:$E,'收支明細'!$B:$B,"支出",'收支明細'!$A:$A,A194))</f>
        <v/>
      </c>
      <c r="H194" s="40" t="str">
        <f>IF(OR(A194="",A194&lt;'月度總覽'!$F$6),0,'月度總覽'!$F$13)</f>
        <v>0.00</v>
      </c>
      <c r="I194" s="40" t="str">
        <f t="shared" si="2"/>
        <v/>
      </c>
      <c r="J194" s="40" t="str">
        <f>IF(OR(A194="",A194&lt;'月度總覽'!$F$6),"",'月度總覽'!$F$12-SUM($H$5:H194)+IF(AND('月度總覽'!$B$10="到帳日自動計入",'月度總覽'!$B$8&gt;'月度總覽'!$B$7,'月度總覽'!$B$8&lt;=A194),'月度總覽'!$B$9,0)+SUMIFS($E$5:E194,$A$5:A194,"&gt;"&amp;'月度總覽'!$B$7)-SUMIFS($G$5:G194,$A$5:A194,"&gt;"&amp;'月度總覽'!$B$7))</f>
        <v/>
      </c>
    </row>
    <row r="195" ht="15.75" customHeight="1">
      <c r="A195" s="39" t="str">
        <f>IF(191&lt;='月度總覽'!$F$5,'月度總覽'!$B$5+191-1,"")</f>
        <v/>
      </c>
      <c r="B195" t="str">
        <f t="shared" si="1"/>
        <v/>
      </c>
      <c r="C195" t="str">
        <f>IF(A195="","",IF(A195&lt;'月度總覽'!$F$6,"已過",IF(A195='月度總覽'!$F$6,"基準日","未來")))</f>
        <v/>
      </c>
      <c r="D195" s="40" t="str">
        <f>IF(A195="","",IF(A195='月度總覽'!$B$8,'月度總覽'!$B$9,0))</f>
        <v/>
      </c>
      <c r="E195" s="40" t="str">
        <f>IF(A195="","",SUMIFS('收支明細'!$E:$E,'收支明細'!$B:$B,"收入",'收支明細'!$A:$A,A195))</f>
        <v/>
      </c>
      <c r="F195" s="40" t="str">
        <f>IF(A195="","",SUMIFS('固定支出'!$C:$C,'固定支出'!$G:$G,"是",'固定支出'!$D:$D,A195))</f>
        <v/>
      </c>
      <c r="G195" s="40" t="str">
        <f>IF(A195="","",SUMIFS('收支明細'!$E:$E,'收支明細'!$B:$B,"支出",'收支明細'!$A:$A,A195))</f>
        <v/>
      </c>
      <c r="H195" s="40" t="str">
        <f>IF(OR(A195="",A195&lt;'月度總覽'!$F$6),0,'月度總覽'!$F$13)</f>
        <v>0.00</v>
      </c>
      <c r="I195" s="40" t="str">
        <f t="shared" si="2"/>
        <v/>
      </c>
      <c r="J195" s="40" t="str">
        <f>IF(OR(A195="",A195&lt;'月度總覽'!$F$6),"",'月度總覽'!$F$12-SUM($H$5:H195)+IF(AND('月度總覽'!$B$10="到帳日自動計入",'月度總覽'!$B$8&gt;'月度總覽'!$B$7,'月度總覽'!$B$8&lt;=A195),'月度總覽'!$B$9,0)+SUMIFS($E$5:E195,$A$5:A195,"&gt;"&amp;'月度總覽'!$B$7)-SUMIFS($G$5:G195,$A$5:A195,"&gt;"&amp;'月度總覽'!$B$7))</f>
        <v/>
      </c>
    </row>
    <row r="196" ht="15.75" customHeight="1">
      <c r="A196" s="39" t="str">
        <f>IF(192&lt;='月度總覽'!$F$5,'月度總覽'!$B$5+192-1,"")</f>
        <v/>
      </c>
      <c r="B196" t="str">
        <f t="shared" si="1"/>
        <v/>
      </c>
      <c r="C196" t="str">
        <f>IF(A196="","",IF(A196&lt;'月度總覽'!$F$6,"已過",IF(A196='月度總覽'!$F$6,"基準日","未來")))</f>
        <v/>
      </c>
      <c r="D196" s="40" t="str">
        <f>IF(A196="","",IF(A196='月度總覽'!$B$8,'月度總覽'!$B$9,0))</f>
        <v/>
      </c>
      <c r="E196" s="40" t="str">
        <f>IF(A196="","",SUMIFS('收支明細'!$E:$E,'收支明細'!$B:$B,"收入",'收支明細'!$A:$A,A196))</f>
        <v/>
      </c>
      <c r="F196" s="40" t="str">
        <f>IF(A196="","",SUMIFS('固定支出'!$C:$C,'固定支出'!$G:$G,"是",'固定支出'!$D:$D,A196))</f>
        <v/>
      </c>
      <c r="G196" s="40" t="str">
        <f>IF(A196="","",SUMIFS('收支明細'!$E:$E,'收支明細'!$B:$B,"支出",'收支明細'!$A:$A,A196))</f>
        <v/>
      </c>
      <c r="H196" s="40" t="str">
        <f>IF(OR(A196="",A196&lt;'月度總覽'!$F$6),0,'月度總覽'!$F$13)</f>
        <v>0.00</v>
      </c>
      <c r="I196" s="40" t="str">
        <f t="shared" si="2"/>
        <v/>
      </c>
      <c r="J196" s="40" t="str">
        <f>IF(OR(A196="",A196&lt;'月度總覽'!$F$6),"",'月度總覽'!$F$12-SUM($H$5:H196)+IF(AND('月度總覽'!$B$10="到帳日自動計入",'月度總覽'!$B$8&gt;'月度總覽'!$B$7,'月度總覽'!$B$8&lt;=A196),'月度總覽'!$B$9,0)+SUMIFS($E$5:E196,$A$5:A196,"&gt;"&amp;'月度總覽'!$B$7)-SUMIFS($G$5:G196,$A$5:A196,"&gt;"&amp;'月度總覽'!$B$7))</f>
        <v/>
      </c>
    </row>
    <row r="197" ht="15.75" customHeight="1">
      <c r="A197" s="39" t="str">
        <f>IF(193&lt;='月度總覽'!$F$5,'月度總覽'!$B$5+193-1,"")</f>
        <v/>
      </c>
      <c r="B197" t="str">
        <f t="shared" si="1"/>
        <v/>
      </c>
      <c r="C197" t="str">
        <f>IF(A197="","",IF(A197&lt;'月度總覽'!$F$6,"已過",IF(A197='月度總覽'!$F$6,"基準日","未來")))</f>
        <v/>
      </c>
      <c r="D197" s="40" t="str">
        <f>IF(A197="","",IF(A197='月度總覽'!$B$8,'月度總覽'!$B$9,0))</f>
        <v/>
      </c>
      <c r="E197" s="40" t="str">
        <f>IF(A197="","",SUMIFS('收支明細'!$E:$E,'收支明細'!$B:$B,"收入",'收支明細'!$A:$A,A197))</f>
        <v/>
      </c>
      <c r="F197" s="40" t="str">
        <f>IF(A197="","",SUMIFS('固定支出'!$C:$C,'固定支出'!$G:$G,"是",'固定支出'!$D:$D,A197))</f>
        <v/>
      </c>
      <c r="G197" s="40" t="str">
        <f>IF(A197="","",SUMIFS('收支明細'!$E:$E,'收支明細'!$B:$B,"支出",'收支明細'!$A:$A,A197))</f>
        <v/>
      </c>
      <c r="H197" s="40" t="str">
        <f>IF(OR(A197="",A197&lt;'月度總覽'!$F$6),0,'月度總覽'!$F$13)</f>
        <v>0.00</v>
      </c>
      <c r="I197" s="40" t="str">
        <f t="shared" si="2"/>
        <v/>
      </c>
      <c r="J197" s="40" t="str">
        <f>IF(OR(A197="",A197&lt;'月度總覽'!$F$6),"",'月度總覽'!$F$12-SUM($H$5:H197)+IF(AND('月度總覽'!$B$10="到帳日自動計入",'月度總覽'!$B$8&gt;'月度總覽'!$B$7,'月度總覽'!$B$8&lt;=A197),'月度總覽'!$B$9,0)+SUMIFS($E$5:E197,$A$5:A197,"&gt;"&amp;'月度總覽'!$B$7)-SUMIFS($G$5:G197,$A$5:A197,"&gt;"&amp;'月度總覽'!$B$7))</f>
        <v/>
      </c>
    </row>
    <row r="198" ht="15.75" customHeight="1">
      <c r="A198" s="39" t="str">
        <f>IF(194&lt;='月度總覽'!$F$5,'月度總覽'!$B$5+194-1,"")</f>
        <v/>
      </c>
      <c r="B198" t="str">
        <f t="shared" si="1"/>
        <v/>
      </c>
      <c r="C198" t="str">
        <f>IF(A198="","",IF(A198&lt;'月度總覽'!$F$6,"已過",IF(A198='月度總覽'!$F$6,"基準日","未來")))</f>
        <v/>
      </c>
      <c r="D198" s="40" t="str">
        <f>IF(A198="","",IF(A198='月度總覽'!$B$8,'月度總覽'!$B$9,0))</f>
        <v/>
      </c>
      <c r="E198" s="40" t="str">
        <f>IF(A198="","",SUMIFS('收支明細'!$E:$E,'收支明細'!$B:$B,"收入",'收支明細'!$A:$A,A198))</f>
        <v/>
      </c>
      <c r="F198" s="40" t="str">
        <f>IF(A198="","",SUMIFS('固定支出'!$C:$C,'固定支出'!$G:$G,"是",'固定支出'!$D:$D,A198))</f>
        <v/>
      </c>
      <c r="G198" s="40" t="str">
        <f>IF(A198="","",SUMIFS('收支明細'!$E:$E,'收支明細'!$B:$B,"支出",'收支明細'!$A:$A,A198))</f>
        <v/>
      </c>
      <c r="H198" s="40" t="str">
        <f>IF(OR(A198="",A198&lt;'月度總覽'!$F$6),0,'月度總覽'!$F$13)</f>
        <v>0.00</v>
      </c>
      <c r="I198" s="40" t="str">
        <f t="shared" si="2"/>
        <v/>
      </c>
      <c r="J198" s="40" t="str">
        <f>IF(OR(A198="",A198&lt;'月度總覽'!$F$6),"",'月度總覽'!$F$12-SUM($H$5:H198)+IF(AND('月度總覽'!$B$10="到帳日自動計入",'月度總覽'!$B$8&gt;'月度總覽'!$B$7,'月度總覽'!$B$8&lt;=A198),'月度總覽'!$B$9,0)+SUMIFS($E$5:E198,$A$5:A198,"&gt;"&amp;'月度總覽'!$B$7)-SUMIFS($G$5:G198,$A$5:A198,"&gt;"&amp;'月度總覽'!$B$7))</f>
        <v/>
      </c>
    </row>
    <row r="199" ht="15.75" customHeight="1">
      <c r="A199" s="39" t="str">
        <f>IF(195&lt;='月度總覽'!$F$5,'月度總覽'!$B$5+195-1,"")</f>
        <v/>
      </c>
      <c r="B199" t="str">
        <f t="shared" si="1"/>
        <v/>
      </c>
      <c r="C199" t="str">
        <f>IF(A199="","",IF(A199&lt;'月度總覽'!$F$6,"已過",IF(A199='月度總覽'!$F$6,"基準日","未來")))</f>
        <v/>
      </c>
      <c r="D199" s="40" t="str">
        <f>IF(A199="","",IF(A199='月度總覽'!$B$8,'月度總覽'!$B$9,0))</f>
        <v/>
      </c>
      <c r="E199" s="40" t="str">
        <f>IF(A199="","",SUMIFS('收支明細'!$E:$E,'收支明細'!$B:$B,"收入",'收支明細'!$A:$A,A199))</f>
        <v/>
      </c>
      <c r="F199" s="40" t="str">
        <f>IF(A199="","",SUMIFS('固定支出'!$C:$C,'固定支出'!$G:$G,"是",'固定支出'!$D:$D,A199))</f>
        <v/>
      </c>
      <c r="G199" s="40" t="str">
        <f>IF(A199="","",SUMIFS('收支明細'!$E:$E,'收支明細'!$B:$B,"支出",'收支明細'!$A:$A,A199))</f>
        <v/>
      </c>
      <c r="H199" s="40" t="str">
        <f>IF(OR(A199="",A199&lt;'月度總覽'!$F$6),0,'月度總覽'!$F$13)</f>
        <v>0.00</v>
      </c>
      <c r="I199" s="40" t="str">
        <f t="shared" si="2"/>
        <v/>
      </c>
      <c r="J199" s="40" t="str">
        <f>IF(OR(A199="",A199&lt;'月度總覽'!$F$6),"",'月度總覽'!$F$12-SUM($H$5:H199)+IF(AND('月度總覽'!$B$10="到帳日自動計入",'月度總覽'!$B$8&gt;'月度總覽'!$B$7,'月度總覽'!$B$8&lt;=A199),'月度總覽'!$B$9,0)+SUMIFS($E$5:E199,$A$5:A199,"&gt;"&amp;'月度總覽'!$B$7)-SUMIFS($G$5:G199,$A$5:A199,"&gt;"&amp;'月度總覽'!$B$7))</f>
        <v/>
      </c>
    </row>
    <row r="200" ht="15.75" customHeight="1">
      <c r="A200" s="39" t="str">
        <f>IF(196&lt;='月度總覽'!$F$5,'月度總覽'!$B$5+196-1,"")</f>
        <v/>
      </c>
      <c r="B200" t="str">
        <f t="shared" si="1"/>
        <v/>
      </c>
      <c r="C200" t="str">
        <f>IF(A200="","",IF(A200&lt;'月度總覽'!$F$6,"已過",IF(A200='月度總覽'!$F$6,"基準日","未來")))</f>
        <v/>
      </c>
      <c r="D200" s="40" t="str">
        <f>IF(A200="","",IF(A200='月度總覽'!$B$8,'月度總覽'!$B$9,0))</f>
        <v/>
      </c>
      <c r="E200" s="40" t="str">
        <f>IF(A200="","",SUMIFS('收支明細'!$E:$E,'收支明細'!$B:$B,"收入",'收支明細'!$A:$A,A200))</f>
        <v/>
      </c>
      <c r="F200" s="40" t="str">
        <f>IF(A200="","",SUMIFS('固定支出'!$C:$C,'固定支出'!$G:$G,"是",'固定支出'!$D:$D,A200))</f>
        <v/>
      </c>
      <c r="G200" s="40" t="str">
        <f>IF(A200="","",SUMIFS('收支明細'!$E:$E,'收支明細'!$B:$B,"支出",'收支明細'!$A:$A,A200))</f>
        <v/>
      </c>
      <c r="H200" s="40" t="str">
        <f>IF(OR(A200="",A200&lt;'月度總覽'!$F$6),0,'月度總覽'!$F$13)</f>
        <v>0.00</v>
      </c>
      <c r="I200" s="40" t="str">
        <f t="shared" si="2"/>
        <v/>
      </c>
      <c r="J200" s="40" t="str">
        <f>IF(OR(A200="",A200&lt;'月度總覽'!$F$6),"",'月度總覽'!$F$12-SUM($H$5:H200)+IF(AND('月度總覽'!$B$10="到帳日自動計入",'月度總覽'!$B$8&gt;'月度總覽'!$B$7,'月度總覽'!$B$8&lt;=A200),'月度總覽'!$B$9,0)+SUMIFS($E$5:E200,$A$5:A200,"&gt;"&amp;'月度總覽'!$B$7)-SUMIFS($G$5:G200,$A$5:A200,"&gt;"&amp;'月度總覽'!$B$7))</f>
        <v/>
      </c>
    </row>
    <row r="201" ht="15.75" customHeight="1">
      <c r="A201" s="39" t="str">
        <f>IF(197&lt;='月度總覽'!$F$5,'月度總覽'!$B$5+197-1,"")</f>
        <v/>
      </c>
      <c r="B201" t="str">
        <f t="shared" si="1"/>
        <v/>
      </c>
      <c r="C201" t="str">
        <f>IF(A201="","",IF(A201&lt;'月度總覽'!$F$6,"已過",IF(A201='月度總覽'!$F$6,"基準日","未來")))</f>
        <v/>
      </c>
      <c r="D201" s="40" t="str">
        <f>IF(A201="","",IF(A201='月度總覽'!$B$8,'月度總覽'!$B$9,0))</f>
        <v/>
      </c>
      <c r="E201" s="40" t="str">
        <f>IF(A201="","",SUMIFS('收支明細'!$E:$E,'收支明細'!$B:$B,"收入",'收支明細'!$A:$A,A201))</f>
        <v/>
      </c>
      <c r="F201" s="40" t="str">
        <f>IF(A201="","",SUMIFS('固定支出'!$C:$C,'固定支出'!$G:$G,"是",'固定支出'!$D:$D,A201))</f>
        <v/>
      </c>
      <c r="G201" s="40" t="str">
        <f>IF(A201="","",SUMIFS('收支明細'!$E:$E,'收支明細'!$B:$B,"支出",'收支明細'!$A:$A,A201))</f>
        <v/>
      </c>
      <c r="H201" s="40" t="str">
        <f>IF(OR(A201="",A201&lt;'月度總覽'!$F$6),0,'月度總覽'!$F$13)</f>
        <v>0.00</v>
      </c>
      <c r="I201" s="40" t="str">
        <f t="shared" si="2"/>
        <v/>
      </c>
      <c r="J201" s="40" t="str">
        <f>IF(OR(A201="",A201&lt;'月度總覽'!$F$6),"",'月度總覽'!$F$12-SUM($H$5:H201)+IF(AND('月度總覽'!$B$10="到帳日自動計入",'月度總覽'!$B$8&gt;'月度總覽'!$B$7,'月度總覽'!$B$8&lt;=A201),'月度總覽'!$B$9,0)+SUMIFS($E$5:E201,$A$5:A201,"&gt;"&amp;'月度總覽'!$B$7)-SUMIFS($G$5:G201,$A$5:A201,"&gt;"&amp;'月度總覽'!$B$7))</f>
        <v/>
      </c>
    </row>
    <row r="202" ht="15.75" customHeight="1">
      <c r="A202" s="39" t="str">
        <f>IF(198&lt;='月度總覽'!$F$5,'月度總覽'!$B$5+198-1,"")</f>
        <v/>
      </c>
      <c r="B202" t="str">
        <f t="shared" si="1"/>
        <v/>
      </c>
      <c r="C202" t="str">
        <f>IF(A202="","",IF(A202&lt;'月度總覽'!$F$6,"已過",IF(A202='月度總覽'!$F$6,"基準日","未來")))</f>
        <v/>
      </c>
      <c r="D202" s="40" t="str">
        <f>IF(A202="","",IF(A202='月度總覽'!$B$8,'月度總覽'!$B$9,0))</f>
        <v/>
      </c>
      <c r="E202" s="40" t="str">
        <f>IF(A202="","",SUMIFS('收支明細'!$E:$E,'收支明細'!$B:$B,"收入",'收支明細'!$A:$A,A202))</f>
        <v/>
      </c>
      <c r="F202" s="40" t="str">
        <f>IF(A202="","",SUMIFS('固定支出'!$C:$C,'固定支出'!$G:$G,"是",'固定支出'!$D:$D,A202))</f>
        <v/>
      </c>
      <c r="G202" s="40" t="str">
        <f>IF(A202="","",SUMIFS('收支明細'!$E:$E,'收支明細'!$B:$B,"支出",'收支明細'!$A:$A,A202))</f>
        <v/>
      </c>
      <c r="H202" s="40" t="str">
        <f>IF(OR(A202="",A202&lt;'月度總覽'!$F$6),0,'月度總覽'!$F$13)</f>
        <v>0.00</v>
      </c>
      <c r="I202" s="40" t="str">
        <f t="shared" si="2"/>
        <v/>
      </c>
      <c r="J202" s="40" t="str">
        <f>IF(OR(A202="",A202&lt;'月度總覽'!$F$6),"",'月度總覽'!$F$12-SUM($H$5:H202)+IF(AND('月度總覽'!$B$10="到帳日自動計入",'月度總覽'!$B$8&gt;'月度總覽'!$B$7,'月度總覽'!$B$8&lt;=A202),'月度總覽'!$B$9,0)+SUMIFS($E$5:E202,$A$5:A202,"&gt;"&amp;'月度總覽'!$B$7)-SUMIFS($G$5:G202,$A$5:A202,"&gt;"&amp;'月度總覽'!$B$7))</f>
        <v/>
      </c>
    </row>
    <row r="203" ht="15.75" customHeight="1">
      <c r="A203" s="39" t="str">
        <f>IF(199&lt;='月度總覽'!$F$5,'月度總覽'!$B$5+199-1,"")</f>
        <v/>
      </c>
      <c r="B203" t="str">
        <f t="shared" si="1"/>
        <v/>
      </c>
      <c r="C203" t="str">
        <f>IF(A203="","",IF(A203&lt;'月度總覽'!$F$6,"已過",IF(A203='月度總覽'!$F$6,"基準日","未來")))</f>
        <v/>
      </c>
      <c r="D203" s="40" t="str">
        <f>IF(A203="","",IF(A203='月度總覽'!$B$8,'月度總覽'!$B$9,0))</f>
        <v/>
      </c>
      <c r="E203" s="40" t="str">
        <f>IF(A203="","",SUMIFS('收支明細'!$E:$E,'收支明細'!$B:$B,"收入",'收支明細'!$A:$A,A203))</f>
        <v/>
      </c>
      <c r="F203" s="40" t="str">
        <f>IF(A203="","",SUMIFS('固定支出'!$C:$C,'固定支出'!$G:$G,"是",'固定支出'!$D:$D,A203))</f>
        <v/>
      </c>
      <c r="G203" s="40" t="str">
        <f>IF(A203="","",SUMIFS('收支明細'!$E:$E,'收支明細'!$B:$B,"支出",'收支明細'!$A:$A,A203))</f>
        <v/>
      </c>
      <c r="H203" s="40" t="str">
        <f>IF(OR(A203="",A203&lt;'月度總覽'!$F$6),0,'月度總覽'!$F$13)</f>
        <v>0.00</v>
      </c>
      <c r="I203" s="40" t="str">
        <f t="shared" si="2"/>
        <v/>
      </c>
      <c r="J203" s="40" t="str">
        <f>IF(OR(A203="",A203&lt;'月度總覽'!$F$6),"",'月度總覽'!$F$12-SUM($H$5:H203)+IF(AND('月度總覽'!$B$10="到帳日自動計入",'月度總覽'!$B$8&gt;'月度總覽'!$B$7,'月度總覽'!$B$8&lt;=A203),'月度總覽'!$B$9,0)+SUMIFS($E$5:E203,$A$5:A203,"&gt;"&amp;'月度總覽'!$B$7)-SUMIFS($G$5:G203,$A$5:A203,"&gt;"&amp;'月度總覽'!$B$7))</f>
        <v/>
      </c>
    </row>
    <row r="204" ht="15.75" customHeight="1">
      <c r="A204" s="39" t="str">
        <f>IF(200&lt;='月度總覽'!$F$5,'月度總覽'!$B$5+200-1,"")</f>
        <v/>
      </c>
      <c r="B204" t="str">
        <f t="shared" si="1"/>
        <v/>
      </c>
      <c r="C204" t="str">
        <f>IF(A204="","",IF(A204&lt;'月度總覽'!$F$6,"已過",IF(A204='月度總覽'!$F$6,"基準日","未來")))</f>
        <v/>
      </c>
      <c r="D204" s="40" t="str">
        <f>IF(A204="","",IF(A204='月度總覽'!$B$8,'月度總覽'!$B$9,0))</f>
        <v/>
      </c>
      <c r="E204" s="40" t="str">
        <f>IF(A204="","",SUMIFS('收支明細'!$E:$E,'收支明細'!$B:$B,"收入",'收支明細'!$A:$A,A204))</f>
        <v/>
      </c>
      <c r="F204" s="40" t="str">
        <f>IF(A204="","",SUMIFS('固定支出'!$C:$C,'固定支出'!$G:$G,"是",'固定支出'!$D:$D,A204))</f>
        <v/>
      </c>
      <c r="G204" s="40" t="str">
        <f>IF(A204="","",SUMIFS('收支明細'!$E:$E,'收支明細'!$B:$B,"支出",'收支明細'!$A:$A,A204))</f>
        <v/>
      </c>
      <c r="H204" s="40" t="str">
        <f>IF(OR(A204="",A204&lt;'月度總覽'!$F$6),0,'月度總覽'!$F$13)</f>
        <v>0.00</v>
      </c>
      <c r="I204" s="40" t="str">
        <f t="shared" si="2"/>
        <v/>
      </c>
      <c r="J204" s="40" t="str">
        <f>IF(OR(A204="",A204&lt;'月度總覽'!$F$6),"",'月度總覽'!$F$12-SUM($H$5:H204)+IF(AND('月度總覽'!$B$10="到帳日自動計入",'月度總覽'!$B$8&gt;'月度總覽'!$B$7,'月度總覽'!$B$8&lt;=A204),'月度總覽'!$B$9,0)+SUMIFS($E$5:E204,$A$5:A204,"&gt;"&amp;'月度總覽'!$B$7)-SUMIFS($G$5:G204,$A$5:A204,"&gt;"&amp;'月度總覽'!$B$7))</f>
        <v/>
      </c>
    </row>
    <row r="205" ht="15.75" customHeight="1">
      <c r="A205" s="39" t="str">
        <f>IF(201&lt;='月度總覽'!$F$5,'月度總覽'!$B$5+201-1,"")</f>
        <v/>
      </c>
      <c r="B205" t="str">
        <f t="shared" si="1"/>
        <v/>
      </c>
      <c r="C205" t="str">
        <f>IF(A205="","",IF(A205&lt;'月度總覽'!$F$6,"已過",IF(A205='月度總覽'!$F$6,"基準日","未來")))</f>
        <v/>
      </c>
      <c r="D205" s="40" t="str">
        <f>IF(A205="","",IF(A205='月度總覽'!$B$8,'月度總覽'!$B$9,0))</f>
        <v/>
      </c>
      <c r="E205" s="40" t="str">
        <f>IF(A205="","",SUMIFS('收支明細'!$E:$E,'收支明細'!$B:$B,"收入",'收支明細'!$A:$A,A205))</f>
        <v/>
      </c>
      <c r="F205" s="40" t="str">
        <f>IF(A205="","",SUMIFS('固定支出'!$C:$C,'固定支出'!$G:$G,"是",'固定支出'!$D:$D,A205))</f>
        <v/>
      </c>
      <c r="G205" s="40" t="str">
        <f>IF(A205="","",SUMIFS('收支明細'!$E:$E,'收支明細'!$B:$B,"支出",'收支明細'!$A:$A,A205))</f>
        <v/>
      </c>
      <c r="H205" s="40" t="str">
        <f>IF(OR(A205="",A205&lt;'月度總覽'!$F$6),0,'月度總覽'!$F$13)</f>
        <v>0.00</v>
      </c>
      <c r="I205" s="40" t="str">
        <f t="shared" si="2"/>
        <v/>
      </c>
      <c r="J205" s="40" t="str">
        <f>IF(OR(A205="",A205&lt;'月度總覽'!$F$6),"",'月度總覽'!$F$12-SUM($H$5:H205)+IF(AND('月度總覽'!$B$10="到帳日自動計入",'月度總覽'!$B$8&gt;'月度總覽'!$B$7,'月度總覽'!$B$8&lt;=A205),'月度總覽'!$B$9,0)+SUMIFS($E$5:E205,$A$5:A205,"&gt;"&amp;'月度總覽'!$B$7)-SUMIFS($G$5:G205,$A$5:A205,"&gt;"&amp;'月度總覽'!$B$7))</f>
        <v/>
      </c>
    </row>
    <row r="206" ht="15.75" customHeight="1">
      <c r="A206" s="39" t="str">
        <f>IF(202&lt;='月度總覽'!$F$5,'月度總覽'!$B$5+202-1,"")</f>
        <v/>
      </c>
      <c r="B206" t="str">
        <f t="shared" si="1"/>
        <v/>
      </c>
      <c r="C206" t="str">
        <f>IF(A206="","",IF(A206&lt;'月度總覽'!$F$6,"已過",IF(A206='月度總覽'!$F$6,"基準日","未來")))</f>
        <v/>
      </c>
      <c r="D206" s="40" t="str">
        <f>IF(A206="","",IF(A206='月度總覽'!$B$8,'月度總覽'!$B$9,0))</f>
        <v/>
      </c>
      <c r="E206" s="40" t="str">
        <f>IF(A206="","",SUMIFS('收支明細'!$E:$E,'收支明細'!$B:$B,"收入",'收支明細'!$A:$A,A206))</f>
        <v/>
      </c>
      <c r="F206" s="40" t="str">
        <f>IF(A206="","",SUMIFS('固定支出'!$C:$C,'固定支出'!$G:$G,"是",'固定支出'!$D:$D,A206))</f>
        <v/>
      </c>
      <c r="G206" s="40" t="str">
        <f>IF(A206="","",SUMIFS('收支明細'!$E:$E,'收支明細'!$B:$B,"支出",'收支明細'!$A:$A,A206))</f>
        <v/>
      </c>
      <c r="H206" s="40" t="str">
        <f>IF(OR(A206="",A206&lt;'月度總覽'!$F$6),0,'月度總覽'!$F$13)</f>
        <v>0.00</v>
      </c>
      <c r="I206" s="40" t="str">
        <f t="shared" si="2"/>
        <v/>
      </c>
      <c r="J206" s="40" t="str">
        <f>IF(OR(A206="",A206&lt;'月度總覽'!$F$6),"",'月度總覽'!$F$12-SUM($H$5:H206)+IF(AND('月度總覽'!$B$10="到帳日自動計入",'月度總覽'!$B$8&gt;'月度總覽'!$B$7,'月度總覽'!$B$8&lt;=A206),'月度總覽'!$B$9,0)+SUMIFS($E$5:E206,$A$5:A206,"&gt;"&amp;'月度總覽'!$B$7)-SUMIFS($G$5:G206,$A$5:A206,"&gt;"&amp;'月度總覽'!$B$7))</f>
        <v/>
      </c>
    </row>
    <row r="207" ht="15.75" customHeight="1">
      <c r="A207" s="39" t="str">
        <f>IF(203&lt;='月度總覽'!$F$5,'月度總覽'!$B$5+203-1,"")</f>
        <v/>
      </c>
      <c r="B207" t="str">
        <f t="shared" si="1"/>
        <v/>
      </c>
      <c r="C207" t="str">
        <f>IF(A207="","",IF(A207&lt;'月度總覽'!$F$6,"已過",IF(A207='月度總覽'!$F$6,"基準日","未來")))</f>
        <v/>
      </c>
      <c r="D207" s="40" t="str">
        <f>IF(A207="","",IF(A207='月度總覽'!$B$8,'月度總覽'!$B$9,0))</f>
        <v/>
      </c>
      <c r="E207" s="40" t="str">
        <f>IF(A207="","",SUMIFS('收支明細'!$E:$E,'收支明細'!$B:$B,"收入",'收支明細'!$A:$A,A207))</f>
        <v/>
      </c>
      <c r="F207" s="40" t="str">
        <f>IF(A207="","",SUMIFS('固定支出'!$C:$C,'固定支出'!$G:$G,"是",'固定支出'!$D:$D,A207))</f>
        <v/>
      </c>
      <c r="G207" s="40" t="str">
        <f>IF(A207="","",SUMIFS('收支明細'!$E:$E,'收支明細'!$B:$B,"支出",'收支明細'!$A:$A,A207))</f>
        <v/>
      </c>
      <c r="H207" s="40" t="str">
        <f>IF(OR(A207="",A207&lt;'月度總覽'!$F$6),0,'月度總覽'!$F$13)</f>
        <v>0.00</v>
      </c>
      <c r="I207" s="40" t="str">
        <f t="shared" si="2"/>
        <v/>
      </c>
      <c r="J207" s="40" t="str">
        <f>IF(OR(A207="",A207&lt;'月度總覽'!$F$6),"",'月度總覽'!$F$12-SUM($H$5:H207)+IF(AND('月度總覽'!$B$10="到帳日自動計入",'月度總覽'!$B$8&gt;'月度總覽'!$B$7,'月度總覽'!$B$8&lt;=A207),'月度總覽'!$B$9,0)+SUMIFS($E$5:E207,$A$5:A207,"&gt;"&amp;'月度總覽'!$B$7)-SUMIFS($G$5:G207,$A$5:A207,"&gt;"&amp;'月度總覽'!$B$7))</f>
        <v/>
      </c>
    </row>
    <row r="208" ht="15.75" customHeight="1">
      <c r="A208" s="39" t="str">
        <f>IF(204&lt;='月度總覽'!$F$5,'月度總覽'!$B$5+204-1,"")</f>
        <v/>
      </c>
      <c r="B208" t="str">
        <f t="shared" si="1"/>
        <v/>
      </c>
      <c r="C208" t="str">
        <f>IF(A208="","",IF(A208&lt;'月度總覽'!$F$6,"已過",IF(A208='月度總覽'!$F$6,"基準日","未來")))</f>
        <v/>
      </c>
      <c r="D208" s="40" t="str">
        <f>IF(A208="","",IF(A208='月度總覽'!$B$8,'月度總覽'!$B$9,0))</f>
        <v/>
      </c>
      <c r="E208" s="40" t="str">
        <f>IF(A208="","",SUMIFS('收支明細'!$E:$E,'收支明細'!$B:$B,"收入",'收支明細'!$A:$A,A208))</f>
        <v/>
      </c>
      <c r="F208" s="40" t="str">
        <f>IF(A208="","",SUMIFS('固定支出'!$C:$C,'固定支出'!$G:$G,"是",'固定支出'!$D:$D,A208))</f>
        <v/>
      </c>
      <c r="G208" s="40" t="str">
        <f>IF(A208="","",SUMIFS('收支明細'!$E:$E,'收支明細'!$B:$B,"支出",'收支明細'!$A:$A,A208))</f>
        <v/>
      </c>
      <c r="H208" s="40" t="str">
        <f>IF(OR(A208="",A208&lt;'月度總覽'!$F$6),0,'月度總覽'!$F$13)</f>
        <v>0.00</v>
      </c>
      <c r="I208" s="40" t="str">
        <f t="shared" si="2"/>
        <v/>
      </c>
      <c r="J208" s="40" t="str">
        <f>IF(OR(A208="",A208&lt;'月度總覽'!$F$6),"",'月度總覽'!$F$12-SUM($H$5:H208)+IF(AND('月度總覽'!$B$10="到帳日自動計入",'月度總覽'!$B$8&gt;'月度總覽'!$B$7,'月度總覽'!$B$8&lt;=A208),'月度總覽'!$B$9,0)+SUMIFS($E$5:E208,$A$5:A208,"&gt;"&amp;'月度總覽'!$B$7)-SUMIFS($G$5:G208,$A$5:A208,"&gt;"&amp;'月度總覽'!$B$7))</f>
        <v/>
      </c>
    </row>
    <row r="209" ht="15.75" customHeight="1">
      <c r="A209" s="39" t="str">
        <f>IF(205&lt;='月度總覽'!$F$5,'月度總覽'!$B$5+205-1,"")</f>
        <v/>
      </c>
      <c r="B209" t="str">
        <f t="shared" si="1"/>
        <v/>
      </c>
      <c r="C209" t="str">
        <f>IF(A209="","",IF(A209&lt;'月度總覽'!$F$6,"已過",IF(A209='月度總覽'!$F$6,"基準日","未來")))</f>
        <v/>
      </c>
      <c r="D209" s="40" t="str">
        <f>IF(A209="","",IF(A209='月度總覽'!$B$8,'月度總覽'!$B$9,0))</f>
        <v/>
      </c>
      <c r="E209" s="40" t="str">
        <f>IF(A209="","",SUMIFS('收支明細'!$E:$E,'收支明細'!$B:$B,"收入",'收支明細'!$A:$A,A209))</f>
        <v/>
      </c>
      <c r="F209" s="40" t="str">
        <f>IF(A209="","",SUMIFS('固定支出'!$C:$C,'固定支出'!$G:$G,"是",'固定支出'!$D:$D,A209))</f>
        <v/>
      </c>
      <c r="G209" s="40" t="str">
        <f>IF(A209="","",SUMIFS('收支明細'!$E:$E,'收支明細'!$B:$B,"支出",'收支明細'!$A:$A,A209))</f>
        <v/>
      </c>
      <c r="H209" s="40" t="str">
        <f>IF(OR(A209="",A209&lt;'月度總覽'!$F$6),0,'月度總覽'!$F$13)</f>
        <v>0.00</v>
      </c>
      <c r="I209" s="40" t="str">
        <f t="shared" si="2"/>
        <v/>
      </c>
      <c r="J209" s="40" t="str">
        <f>IF(OR(A209="",A209&lt;'月度總覽'!$F$6),"",'月度總覽'!$F$12-SUM($H$5:H209)+IF(AND('月度總覽'!$B$10="到帳日自動計入",'月度總覽'!$B$8&gt;'月度總覽'!$B$7,'月度總覽'!$B$8&lt;=A209),'月度總覽'!$B$9,0)+SUMIFS($E$5:E209,$A$5:A209,"&gt;"&amp;'月度總覽'!$B$7)-SUMIFS($G$5:G209,$A$5:A209,"&gt;"&amp;'月度總覽'!$B$7))</f>
        <v/>
      </c>
    </row>
    <row r="210" ht="15.75" customHeight="1">
      <c r="A210" s="39" t="str">
        <f>IF(206&lt;='月度總覽'!$F$5,'月度總覽'!$B$5+206-1,"")</f>
        <v/>
      </c>
      <c r="B210" t="str">
        <f t="shared" si="1"/>
        <v/>
      </c>
      <c r="C210" t="str">
        <f>IF(A210="","",IF(A210&lt;'月度總覽'!$F$6,"已過",IF(A210='月度總覽'!$F$6,"基準日","未來")))</f>
        <v/>
      </c>
      <c r="D210" s="40" t="str">
        <f>IF(A210="","",IF(A210='月度總覽'!$B$8,'月度總覽'!$B$9,0))</f>
        <v/>
      </c>
      <c r="E210" s="40" t="str">
        <f>IF(A210="","",SUMIFS('收支明細'!$E:$E,'收支明細'!$B:$B,"收入",'收支明細'!$A:$A,A210))</f>
        <v/>
      </c>
      <c r="F210" s="40" t="str">
        <f>IF(A210="","",SUMIFS('固定支出'!$C:$C,'固定支出'!$G:$G,"是",'固定支出'!$D:$D,A210))</f>
        <v/>
      </c>
      <c r="G210" s="40" t="str">
        <f>IF(A210="","",SUMIFS('收支明細'!$E:$E,'收支明細'!$B:$B,"支出",'收支明細'!$A:$A,A210))</f>
        <v/>
      </c>
      <c r="H210" s="40" t="str">
        <f>IF(OR(A210="",A210&lt;'月度總覽'!$F$6),0,'月度總覽'!$F$13)</f>
        <v>0.00</v>
      </c>
      <c r="I210" s="40" t="str">
        <f t="shared" si="2"/>
        <v/>
      </c>
      <c r="J210" s="40" t="str">
        <f>IF(OR(A210="",A210&lt;'月度總覽'!$F$6),"",'月度總覽'!$F$12-SUM($H$5:H210)+IF(AND('月度總覽'!$B$10="到帳日自動計入",'月度總覽'!$B$8&gt;'月度總覽'!$B$7,'月度總覽'!$B$8&lt;=A210),'月度總覽'!$B$9,0)+SUMIFS($E$5:E210,$A$5:A210,"&gt;"&amp;'月度總覽'!$B$7)-SUMIFS($G$5:G210,$A$5:A210,"&gt;"&amp;'月度總覽'!$B$7))</f>
        <v/>
      </c>
    </row>
    <row r="211" ht="15.75" customHeight="1">
      <c r="A211" s="39" t="str">
        <f>IF(207&lt;='月度總覽'!$F$5,'月度總覽'!$B$5+207-1,"")</f>
        <v/>
      </c>
      <c r="B211" t="str">
        <f t="shared" si="1"/>
        <v/>
      </c>
      <c r="C211" t="str">
        <f>IF(A211="","",IF(A211&lt;'月度總覽'!$F$6,"已過",IF(A211='月度總覽'!$F$6,"基準日","未來")))</f>
        <v/>
      </c>
      <c r="D211" s="40" t="str">
        <f>IF(A211="","",IF(A211='月度總覽'!$B$8,'月度總覽'!$B$9,0))</f>
        <v/>
      </c>
      <c r="E211" s="40" t="str">
        <f>IF(A211="","",SUMIFS('收支明細'!$E:$E,'收支明細'!$B:$B,"收入",'收支明細'!$A:$A,A211))</f>
        <v/>
      </c>
      <c r="F211" s="40" t="str">
        <f>IF(A211="","",SUMIFS('固定支出'!$C:$C,'固定支出'!$G:$G,"是",'固定支出'!$D:$D,A211))</f>
        <v/>
      </c>
      <c r="G211" s="40" t="str">
        <f>IF(A211="","",SUMIFS('收支明細'!$E:$E,'收支明細'!$B:$B,"支出",'收支明細'!$A:$A,A211))</f>
        <v/>
      </c>
      <c r="H211" s="40" t="str">
        <f>IF(OR(A211="",A211&lt;'月度總覽'!$F$6),0,'月度總覽'!$F$13)</f>
        <v>0.00</v>
      </c>
      <c r="I211" s="40" t="str">
        <f t="shared" si="2"/>
        <v/>
      </c>
      <c r="J211" s="40" t="str">
        <f>IF(OR(A211="",A211&lt;'月度總覽'!$F$6),"",'月度總覽'!$F$12-SUM($H$5:H211)+IF(AND('月度總覽'!$B$10="到帳日自動計入",'月度總覽'!$B$8&gt;'月度總覽'!$B$7,'月度總覽'!$B$8&lt;=A211),'月度總覽'!$B$9,0)+SUMIFS($E$5:E211,$A$5:A211,"&gt;"&amp;'月度總覽'!$B$7)-SUMIFS($G$5:G211,$A$5:A211,"&gt;"&amp;'月度總覽'!$B$7))</f>
        <v/>
      </c>
    </row>
    <row r="212" ht="15.75" customHeight="1">
      <c r="A212" s="39" t="str">
        <f>IF(208&lt;='月度總覽'!$F$5,'月度總覽'!$B$5+208-1,"")</f>
        <v/>
      </c>
      <c r="B212" t="str">
        <f t="shared" si="1"/>
        <v/>
      </c>
      <c r="C212" t="str">
        <f>IF(A212="","",IF(A212&lt;'月度總覽'!$F$6,"已過",IF(A212='月度總覽'!$F$6,"基準日","未來")))</f>
        <v/>
      </c>
      <c r="D212" s="40" t="str">
        <f>IF(A212="","",IF(A212='月度總覽'!$B$8,'月度總覽'!$B$9,0))</f>
        <v/>
      </c>
      <c r="E212" s="40" t="str">
        <f>IF(A212="","",SUMIFS('收支明細'!$E:$E,'收支明細'!$B:$B,"收入",'收支明細'!$A:$A,A212))</f>
        <v/>
      </c>
      <c r="F212" s="40" t="str">
        <f>IF(A212="","",SUMIFS('固定支出'!$C:$C,'固定支出'!$G:$G,"是",'固定支出'!$D:$D,A212))</f>
        <v/>
      </c>
      <c r="G212" s="40" t="str">
        <f>IF(A212="","",SUMIFS('收支明細'!$E:$E,'收支明細'!$B:$B,"支出",'收支明細'!$A:$A,A212))</f>
        <v/>
      </c>
      <c r="H212" s="40" t="str">
        <f>IF(OR(A212="",A212&lt;'月度總覽'!$F$6),0,'月度總覽'!$F$13)</f>
        <v>0.00</v>
      </c>
      <c r="I212" s="40" t="str">
        <f t="shared" si="2"/>
        <v/>
      </c>
      <c r="J212" s="40" t="str">
        <f>IF(OR(A212="",A212&lt;'月度總覽'!$F$6),"",'月度總覽'!$F$12-SUM($H$5:H212)+IF(AND('月度總覽'!$B$10="到帳日自動計入",'月度總覽'!$B$8&gt;'月度總覽'!$B$7,'月度總覽'!$B$8&lt;=A212),'月度總覽'!$B$9,0)+SUMIFS($E$5:E212,$A$5:A212,"&gt;"&amp;'月度總覽'!$B$7)-SUMIFS($G$5:G212,$A$5:A212,"&gt;"&amp;'月度總覽'!$B$7))</f>
        <v/>
      </c>
    </row>
    <row r="213" ht="15.75" customHeight="1">
      <c r="A213" s="39" t="str">
        <f>IF(209&lt;='月度總覽'!$F$5,'月度總覽'!$B$5+209-1,"")</f>
        <v/>
      </c>
      <c r="B213" t="str">
        <f t="shared" si="1"/>
        <v/>
      </c>
      <c r="C213" t="str">
        <f>IF(A213="","",IF(A213&lt;'月度總覽'!$F$6,"已過",IF(A213='月度總覽'!$F$6,"基準日","未來")))</f>
        <v/>
      </c>
      <c r="D213" s="40" t="str">
        <f>IF(A213="","",IF(A213='月度總覽'!$B$8,'月度總覽'!$B$9,0))</f>
        <v/>
      </c>
      <c r="E213" s="40" t="str">
        <f>IF(A213="","",SUMIFS('收支明細'!$E:$E,'收支明細'!$B:$B,"收入",'收支明細'!$A:$A,A213))</f>
        <v/>
      </c>
      <c r="F213" s="40" t="str">
        <f>IF(A213="","",SUMIFS('固定支出'!$C:$C,'固定支出'!$G:$G,"是",'固定支出'!$D:$D,A213))</f>
        <v/>
      </c>
      <c r="G213" s="40" t="str">
        <f>IF(A213="","",SUMIFS('收支明細'!$E:$E,'收支明細'!$B:$B,"支出",'收支明細'!$A:$A,A213))</f>
        <v/>
      </c>
      <c r="H213" s="40" t="str">
        <f>IF(OR(A213="",A213&lt;'月度總覽'!$F$6),0,'月度總覽'!$F$13)</f>
        <v>0.00</v>
      </c>
      <c r="I213" s="40" t="str">
        <f t="shared" si="2"/>
        <v/>
      </c>
      <c r="J213" s="40" t="str">
        <f>IF(OR(A213="",A213&lt;'月度總覽'!$F$6),"",'月度總覽'!$F$12-SUM($H$5:H213)+IF(AND('月度總覽'!$B$10="到帳日自動計入",'月度總覽'!$B$8&gt;'月度總覽'!$B$7,'月度總覽'!$B$8&lt;=A213),'月度總覽'!$B$9,0)+SUMIFS($E$5:E213,$A$5:A213,"&gt;"&amp;'月度總覽'!$B$7)-SUMIFS($G$5:G213,$A$5:A213,"&gt;"&amp;'月度總覽'!$B$7))</f>
        <v/>
      </c>
    </row>
    <row r="214" ht="15.75" customHeight="1">
      <c r="A214" s="39" t="str">
        <f>IF(210&lt;='月度總覽'!$F$5,'月度總覽'!$B$5+210-1,"")</f>
        <v/>
      </c>
      <c r="B214" t="str">
        <f t="shared" si="1"/>
        <v/>
      </c>
      <c r="C214" t="str">
        <f>IF(A214="","",IF(A214&lt;'月度總覽'!$F$6,"已過",IF(A214='月度總覽'!$F$6,"基準日","未來")))</f>
        <v/>
      </c>
      <c r="D214" s="40" t="str">
        <f>IF(A214="","",IF(A214='月度總覽'!$B$8,'月度總覽'!$B$9,0))</f>
        <v/>
      </c>
      <c r="E214" s="40" t="str">
        <f>IF(A214="","",SUMIFS('收支明細'!$E:$E,'收支明細'!$B:$B,"收入",'收支明細'!$A:$A,A214))</f>
        <v/>
      </c>
      <c r="F214" s="40" t="str">
        <f>IF(A214="","",SUMIFS('固定支出'!$C:$C,'固定支出'!$G:$G,"是",'固定支出'!$D:$D,A214))</f>
        <v/>
      </c>
      <c r="G214" s="40" t="str">
        <f>IF(A214="","",SUMIFS('收支明細'!$E:$E,'收支明細'!$B:$B,"支出",'收支明細'!$A:$A,A214))</f>
        <v/>
      </c>
      <c r="H214" s="40" t="str">
        <f>IF(OR(A214="",A214&lt;'月度總覽'!$F$6),0,'月度總覽'!$F$13)</f>
        <v>0.00</v>
      </c>
      <c r="I214" s="40" t="str">
        <f t="shared" si="2"/>
        <v/>
      </c>
      <c r="J214" s="40" t="str">
        <f>IF(OR(A214="",A214&lt;'月度總覽'!$F$6),"",'月度總覽'!$F$12-SUM($H$5:H214)+IF(AND('月度總覽'!$B$10="到帳日自動計入",'月度總覽'!$B$8&gt;'月度總覽'!$B$7,'月度總覽'!$B$8&lt;=A214),'月度總覽'!$B$9,0)+SUMIFS($E$5:E214,$A$5:A214,"&gt;"&amp;'月度總覽'!$B$7)-SUMIFS($G$5:G214,$A$5:A214,"&gt;"&amp;'月度總覽'!$B$7))</f>
        <v/>
      </c>
    </row>
    <row r="215" ht="15.75" customHeight="1">
      <c r="A215" s="39" t="str">
        <f>IF(211&lt;='月度總覽'!$F$5,'月度總覽'!$B$5+211-1,"")</f>
        <v/>
      </c>
      <c r="B215" t="str">
        <f t="shared" si="1"/>
        <v/>
      </c>
      <c r="C215" t="str">
        <f>IF(A215="","",IF(A215&lt;'月度總覽'!$F$6,"已過",IF(A215='月度總覽'!$F$6,"基準日","未來")))</f>
        <v/>
      </c>
      <c r="D215" s="40" t="str">
        <f>IF(A215="","",IF(A215='月度總覽'!$B$8,'月度總覽'!$B$9,0))</f>
        <v/>
      </c>
      <c r="E215" s="40" t="str">
        <f>IF(A215="","",SUMIFS('收支明細'!$E:$E,'收支明細'!$B:$B,"收入",'收支明細'!$A:$A,A215))</f>
        <v/>
      </c>
      <c r="F215" s="40" t="str">
        <f>IF(A215="","",SUMIFS('固定支出'!$C:$C,'固定支出'!$G:$G,"是",'固定支出'!$D:$D,A215))</f>
        <v/>
      </c>
      <c r="G215" s="40" t="str">
        <f>IF(A215="","",SUMIFS('收支明細'!$E:$E,'收支明細'!$B:$B,"支出",'收支明細'!$A:$A,A215))</f>
        <v/>
      </c>
      <c r="H215" s="40" t="str">
        <f>IF(OR(A215="",A215&lt;'月度總覽'!$F$6),0,'月度總覽'!$F$13)</f>
        <v>0.00</v>
      </c>
      <c r="I215" s="40" t="str">
        <f t="shared" si="2"/>
        <v/>
      </c>
      <c r="J215" s="40" t="str">
        <f>IF(OR(A215="",A215&lt;'月度總覽'!$F$6),"",'月度總覽'!$F$12-SUM($H$5:H215)+IF(AND('月度總覽'!$B$10="到帳日自動計入",'月度總覽'!$B$8&gt;'月度總覽'!$B$7,'月度總覽'!$B$8&lt;=A215),'月度總覽'!$B$9,0)+SUMIFS($E$5:E215,$A$5:A215,"&gt;"&amp;'月度總覽'!$B$7)-SUMIFS($G$5:G215,$A$5:A215,"&gt;"&amp;'月度總覽'!$B$7))</f>
        <v/>
      </c>
    </row>
    <row r="216" ht="15.75" customHeight="1">
      <c r="A216" s="39" t="str">
        <f>IF(212&lt;='月度總覽'!$F$5,'月度總覽'!$B$5+212-1,"")</f>
        <v/>
      </c>
      <c r="B216" t="str">
        <f t="shared" si="1"/>
        <v/>
      </c>
      <c r="C216" t="str">
        <f>IF(A216="","",IF(A216&lt;'月度總覽'!$F$6,"已過",IF(A216='月度總覽'!$F$6,"基準日","未來")))</f>
        <v/>
      </c>
      <c r="D216" s="40" t="str">
        <f>IF(A216="","",IF(A216='月度總覽'!$B$8,'月度總覽'!$B$9,0))</f>
        <v/>
      </c>
      <c r="E216" s="40" t="str">
        <f>IF(A216="","",SUMIFS('收支明細'!$E:$E,'收支明細'!$B:$B,"收入",'收支明細'!$A:$A,A216))</f>
        <v/>
      </c>
      <c r="F216" s="40" t="str">
        <f>IF(A216="","",SUMIFS('固定支出'!$C:$C,'固定支出'!$G:$G,"是",'固定支出'!$D:$D,A216))</f>
        <v/>
      </c>
      <c r="G216" s="40" t="str">
        <f>IF(A216="","",SUMIFS('收支明細'!$E:$E,'收支明細'!$B:$B,"支出",'收支明細'!$A:$A,A216))</f>
        <v/>
      </c>
      <c r="H216" s="40" t="str">
        <f>IF(OR(A216="",A216&lt;'月度總覽'!$F$6),0,'月度總覽'!$F$13)</f>
        <v>0.00</v>
      </c>
      <c r="I216" s="40" t="str">
        <f t="shared" si="2"/>
        <v/>
      </c>
      <c r="J216" s="40" t="str">
        <f>IF(OR(A216="",A216&lt;'月度總覽'!$F$6),"",'月度總覽'!$F$12-SUM($H$5:H216)+IF(AND('月度總覽'!$B$10="到帳日自動計入",'月度總覽'!$B$8&gt;'月度總覽'!$B$7,'月度總覽'!$B$8&lt;=A216),'月度總覽'!$B$9,0)+SUMIFS($E$5:E216,$A$5:A216,"&gt;"&amp;'月度總覽'!$B$7)-SUMIFS($G$5:G216,$A$5:A216,"&gt;"&amp;'月度總覽'!$B$7))</f>
        <v/>
      </c>
    </row>
    <row r="217" ht="15.75" customHeight="1">
      <c r="A217" s="39" t="str">
        <f>IF(213&lt;='月度總覽'!$F$5,'月度總覽'!$B$5+213-1,"")</f>
        <v/>
      </c>
      <c r="B217" t="str">
        <f t="shared" si="1"/>
        <v/>
      </c>
      <c r="C217" t="str">
        <f>IF(A217="","",IF(A217&lt;'月度總覽'!$F$6,"已過",IF(A217='月度總覽'!$F$6,"基準日","未來")))</f>
        <v/>
      </c>
      <c r="D217" s="40" t="str">
        <f>IF(A217="","",IF(A217='月度總覽'!$B$8,'月度總覽'!$B$9,0))</f>
        <v/>
      </c>
      <c r="E217" s="40" t="str">
        <f>IF(A217="","",SUMIFS('收支明細'!$E:$E,'收支明細'!$B:$B,"收入",'收支明細'!$A:$A,A217))</f>
        <v/>
      </c>
      <c r="F217" s="40" t="str">
        <f>IF(A217="","",SUMIFS('固定支出'!$C:$C,'固定支出'!$G:$G,"是",'固定支出'!$D:$D,A217))</f>
        <v/>
      </c>
      <c r="G217" s="40" t="str">
        <f>IF(A217="","",SUMIFS('收支明細'!$E:$E,'收支明細'!$B:$B,"支出",'收支明細'!$A:$A,A217))</f>
        <v/>
      </c>
      <c r="H217" s="40" t="str">
        <f>IF(OR(A217="",A217&lt;'月度總覽'!$F$6),0,'月度總覽'!$F$13)</f>
        <v>0.00</v>
      </c>
      <c r="I217" s="40" t="str">
        <f t="shared" si="2"/>
        <v/>
      </c>
      <c r="J217" s="40" t="str">
        <f>IF(OR(A217="",A217&lt;'月度總覽'!$F$6),"",'月度總覽'!$F$12-SUM($H$5:H217)+IF(AND('月度總覽'!$B$10="到帳日自動計入",'月度總覽'!$B$8&gt;'月度總覽'!$B$7,'月度總覽'!$B$8&lt;=A217),'月度總覽'!$B$9,0)+SUMIFS($E$5:E217,$A$5:A217,"&gt;"&amp;'月度總覽'!$B$7)-SUMIFS($G$5:G217,$A$5:A217,"&gt;"&amp;'月度總覽'!$B$7))</f>
        <v/>
      </c>
    </row>
    <row r="218" ht="15.75" customHeight="1">
      <c r="A218" s="39" t="str">
        <f>IF(214&lt;='月度總覽'!$F$5,'月度總覽'!$B$5+214-1,"")</f>
        <v/>
      </c>
      <c r="B218" t="str">
        <f t="shared" si="1"/>
        <v/>
      </c>
      <c r="C218" t="str">
        <f>IF(A218="","",IF(A218&lt;'月度總覽'!$F$6,"已過",IF(A218='月度總覽'!$F$6,"基準日","未來")))</f>
        <v/>
      </c>
      <c r="D218" s="40" t="str">
        <f>IF(A218="","",IF(A218='月度總覽'!$B$8,'月度總覽'!$B$9,0))</f>
        <v/>
      </c>
      <c r="E218" s="40" t="str">
        <f>IF(A218="","",SUMIFS('收支明細'!$E:$E,'收支明細'!$B:$B,"收入",'收支明細'!$A:$A,A218))</f>
        <v/>
      </c>
      <c r="F218" s="40" t="str">
        <f>IF(A218="","",SUMIFS('固定支出'!$C:$C,'固定支出'!$G:$G,"是",'固定支出'!$D:$D,A218))</f>
        <v/>
      </c>
      <c r="G218" s="40" t="str">
        <f>IF(A218="","",SUMIFS('收支明細'!$E:$E,'收支明細'!$B:$B,"支出",'收支明細'!$A:$A,A218))</f>
        <v/>
      </c>
      <c r="H218" s="40" t="str">
        <f>IF(OR(A218="",A218&lt;'月度總覽'!$F$6),0,'月度總覽'!$F$13)</f>
        <v>0.00</v>
      </c>
      <c r="I218" s="40" t="str">
        <f t="shared" si="2"/>
        <v/>
      </c>
      <c r="J218" s="40" t="str">
        <f>IF(OR(A218="",A218&lt;'月度總覽'!$F$6),"",'月度總覽'!$F$12-SUM($H$5:H218)+IF(AND('月度總覽'!$B$10="到帳日自動計入",'月度總覽'!$B$8&gt;'月度總覽'!$B$7,'月度總覽'!$B$8&lt;=A218),'月度總覽'!$B$9,0)+SUMIFS($E$5:E218,$A$5:A218,"&gt;"&amp;'月度總覽'!$B$7)-SUMIFS($G$5:G218,$A$5:A218,"&gt;"&amp;'月度總覽'!$B$7))</f>
        <v/>
      </c>
    </row>
    <row r="219" ht="15.75" customHeight="1">
      <c r="A219" s="39" t="str">
        <f>IF(215&lt;='月度總覽'!$F$5,'月度總覽'!$B$5+215-1,"")</f>
        <v/>
      </c>
      <c r="B219" t="str">
        <f t="shared" si="1"/>
        <v/>
      </c>
      <c r="C219" t="str">
        <f>IF(A219="","",IF(A219&lt;'月度總覽'!$F$6,"已過",IF(A219='月度總覽'!$F$6,"基準日","未來")))</f>
        <v/>
      </c>
      <c r="D219" s="40" t="str">
        <f>IF(A219="","",IF(A219='月度總覽'!$B$8,'月度總覽'!$B$9,0))</f>
        <v/>
      </c>
      <c r="E219" s="40" t="str">
        <f>IF(A219="","",SUMIFS('收支明細'!$E:$E,'收支明細'!$B:$B,"收入",'收支明細'!$A:$A,A219))</f>
        <v/>
      </c>
      <c r="F219" s="40" t="str">
        <f>IF(A219="","",SUMIFS('固定支出'!$C:$C,'固定支出'!$G:$G,"是",'固定支出'!$D:$D,A219))</f>
        <v/>
      </c>
      <c r="G219" s="40" t="str">
        <f>IF(A219="","",SUMIFS('收支明細'!$E:$E,'收支明細'!$B:$B,"支出",'收支明細'!$A:$A,A219))</f>
        <v/>
      </c>
      <c r="H219" s="40" t="str">
        <f>IF(OR(A219="",A219&lt;'月度總覽'!$F$6),0,'月度總覽'!$F$13)</f>
        <v>0.00</v>
      </c>
      <c r="I219" s="40" t="str">
        <f t="shared" si="2"/>
        <v/>
      </c>
      <c r="J219" s="40" t="str">
        <f>IF(OR(A219="",A219&lt;'月度總覽'!$F$6),"",'月度總覽'!$F$12-SUM($H$5:H219)+IF(AND('月度總覽'!$B$10="到帳日自動計入",'月度總覽'!$B$8&gt;'月度總覽'!$B$7,'月度總覽'!$B$8&lt;=A219),'月度總覽'!$B$9,0)+SUMIFS($E$5:E219,$A$5:A219,"&gt;"&amp;'月度總覽'!$B$7)-SUMIFS($G$5:G219,$A$5:A219,"&gt;"&amp;'月度總覽'!$B$7))</f>
        <v/>
      </c>
    </row>
    <row r="220" ht="15.75" customHeight="1">
      <c r="A220" s="39" t="str">
        <f>IF(216&lt;='月度總覽'!$F$5,'月度總覽'!$B$5+216-1,"")</f>
        <v/>
      </c>
      <c r="B220" t="str">
        <f t="shared" si="1"/>
        <v/>
      </c>
      <c r="C220" t="str">
        <f>IF(A220="","",IF(A220&lt;'月度總覽'!$F$6,"已過",IF(A220='月度總覽'!$F$6,"基準日","未來")))</f>
        <v/>
      </c>
      <c r="D220" s="40" t="str">
        <f>IF(A220="","",IF(A220='月度總覽'!$B$8,'月度總覽'!$B$9,0))</f>
        <v/>
      </c>
      <c r="E220" s="40" t="str">
        <f>IF(A220="","",SUMIFS('收支明細'!$E:$E,'收支明細'!$B:$B,"收入",'收支明細'!$A:$A,A220))</f>
        <v/>
      </c>
      <c r="F220" s="40" t="str">
        <f>IF(A220="","",SUMIFS('固定支出'!$C:$C,'固定支出'!$G:$G,"是",'固定支出'!$D:$D,A220))</f>
        <v/>
      </c>
      <c r="G220" s="40" t="str">
        <f>IF(A220="","",SUMIFS('收支明細'!$E:$E,'收支明細'!$B:$B,"支出",'收支明細'!$A:$A,A220))</f>
        <v/>
      </c>
      <c r="H220" s="40" t="str">
        <f>IF(OR(A220="",A220&lt;'月度總覽'!$F$6),0,'月度總覽'!$F$13)</f>
        <v>0.00</v>
      </c>
      <c r="I220" s="40" t="str">
        <f t="shared" si="2"/>
        <v/>
      </c>
      <c r="J220" s="40" t="str">
        <f>IF(OR(A220="",A220&lt;'月度總覽'!$F$6),"",'月度總覽'!$F$12-SUM($H$5:H220)+IF(AND('月度總覽'!$B$10="到帳日自動計入",'月度總覽'!$B$8&gt;'月度總覽'!$B$7,'月度總覽'!$B$8&lt;=A220),'月度總覽'!$B$9,0)+SUMIFS($E$5:E220,$A$5:A220,"&gt;"&amp;'月度總覽'!$B$7)-SUMIFS($G$5:G220,$A$5:A220,"&gt;"&amp;'月度總覽'!$B$7))</f>
        <v/>
      </c>
    </row>
    <row r="221" ht="15.75" customHeight="1">
      <c r="A221" s="39" t="str">
        <f>IF(217&lt;='月度總覽'!$F$5,'月度總覽'!$B$5+217-1,"")</f>
        <v/>
      </c>
      <c r="B221" t="str">
        <f t="shared" si="1"/>
        <v/>
      </c>
      <c r="C221" t="str">
        <f>IF(A221="","",IF(A221&lt;'月度總覽'!$F$6,"已過",IF(A221='月度總覽'!$F$6,"基準日","未來")))</f>
        <v/>
      </c>
      <c r="D221" s="40" t="str">
        <f>IF(A221="","",IF(A221='月度總覽'!$B$8,'月度總覽'!$B$9,0))</f>
        <v/>
      </c>
      <c r="E221" s="40" t="str">
        <f>IF(A221="","",SUMIFS('收支明細'!$E:$E,'收支明細'!$B:$B,"收入",'收支明細'!$A:$A,A221))</f>
        <v/>
      </c>
      <c r="F221" s="40" t="str">
        <f>IF(A221="","",SUMIFS('固定支出'!$C:$C,'固定支出'!$G:$G,"是",'固定支出'!$D:$D,A221))</f>
        <v/>
      </c>
      <c r="G221" s="40" t="str">
        <f>IF(A221="","",SUMIFS('收支明細'!$E:$E,'收支明細'!$B:$B,"支出",'收支明細'!$A:$A,A221))</f>
        <v/>
      </c>
      <c r="H221" s="40" t="str">
        <f>IF(OR(A221="",A221&lt;'月度總覽'!$F$6),0,'月度總覽'!$F$13)</f>
        <v>0.00</v>
      </c>
      <c r="I221" s="40" t="str">
        <f t="shared" si="2"/>
        <v/>
      </c>
      <c r="J221" s="40" t="str">
        <f>IF(OR(A221="",A221&lt;'月度總覽'!$F$6),"",'月度總覽'!$F$12-SUM($H$5:H221)+IF(AND('月度總覽'!$B$10="到帳日自動計入",'月度總覽'!$B$8&gt;'月度總覽'!$B$7,'月度總覽'!$B$8&lt;=A221),'月度總覽'!$B$9,0)+SUMIFS($E$5:E221,$A$5:A221,"&gt;"&amp;'月度總覽'!$B$7)-SUMIFS($G$5:G221,$A$5:A221,"&gt;"&amp;'月度總覽'!$B$7))</f>
        <v/>
      </c>
    </row>
    <row r="222" ht="15.75" customHeight="1">
      <c r="A222" s="39" t="str">
        <f>IF(218&lt;='月度總覽'!$F$5,'月度總覽'!$B$5+218-1,"")</f>
        <v/>
      </c>
      <c r="B222" t="str">
        <f t="shared" si="1"/>
        <v/>
      </c>
      <c r="C222" t="str">
        <f>IF(A222="","",IF(A222&lt;'月度總覽'!$F$6,"已過",IF(A222='月度總覽'!$F$6,"基準日","未來")))</f>
        <v/>
      </c>
      <c r="D222" s="40" t="str">
        <f>IF(A222="","",IF(A222='月度總覽'!$B$8,'月度總覽'!$B$9,0))</f>
        <v/>
      </c>
      <c r="E222" s="40" t="str">
        <f>IF(A222="","",SUMIFS('收支明細'!$E:$E,'收支明細'!$B:$B,"收入",'收支明細'!$A:$A,A222))</f>
        <v/>
      </c>
      <c r="F222" s="40" t="str">
        <f>IF(A222="","",SUMIFS('固定支出'!$C:$C,'固定支出'!$G:$G,"是",'固定支出'!$D:$D,A222))</f>
        <v/>
      </c>
      <c r="G222" s="40" t="str">
        <f>IF(A222="","",SUMIFS('收支明細'!$E:$E,'收支明細'!$B:$B,"支出",'收支明細'!$A:$A,A222))</f>
        <v/>
      </c>
      <c r="H222" s="40" t="str">
        <f>IF(OR(A222="",A222&lt;'月度總覽'!$F$6),0,'月度總覽'!$F$13)</f>
        <v>0.00</v>
      </c>
      <c r="I222" s="40" t="str">
        <f t="shared" si="2"/>
        <v/>
      </c>
      <c r="J222" s="40" t="str">
        <f>IF(OR(A222="",A222&lt;'月度總覽'!$F$6),"",'月度總覽'!$F$12-SUM($H$5:H222)+IF(AND('月度總覽'!$B$10="到帳日自動計入",'月度總覽'!$B$8&gt;'月度總覽'!$B$7,'月度總覽'!$B$8&lt;=A222),'月度總覽'!$B$9,0)+SUMIFS($E$5:E222,$A$5:A222,"&gt;"&amp;'月度總覽'!$B$7)-SUMIFS($G$5:G222,$A$5:A222,"&gt;"&amp;'月度總覽'!$B$7))</f>
        <v/>
      </c>
    </row>
    <row r="223" ht="15.75" customHeight="1">
      <c r="A223" s="39" t="str">
        <f>IF(219&lt;='月度總覽'!$F$5,'月度總覽'!$B$5+219-1,"")</f>
        <v/>
      </c>
      <c r="B223" t="str">
        <f t="shared" si="1"/>
        <v/>
      </c>
      <c r="C223" t="str">
        <f>IF(A223="","",IF(A223&lt;'月度總覽'!$F$6,"已過",IF(A223='月度總覽'!$F$6,"基準日","未來")))</f>
        <v/>
      </c>
      <c r="D223" s="40" t="str">
        <f>IF(A223="","",IF(A223='月度總覽'!$B$8,'月度總覽'!$B$9,0))</f>
        <v/>
      </c>
      <c r="E223" s="40" t="str">
        <f>IF(A223="","",SUMIFS('收支明細'!$E:$E,'收支明細'!$B:$B,"收入",'收支明細'!$A:$A,A223))</f>
        <v/>
      </c>
      <c r="F223" s="40" t="str">
        <f>IF(A223="","",SUMIFS('固定支出'!$C:$C,'固定支出'!$G:$G,"是",'固定支出'!$D:$D,A223))</f>
        <v/>
      </c>
      <c r="G223" s="40" t="str">
        <f>IF(A223="","",SUMIFS('收支明細'!$E:$E,'收支明細'!$B:$B,"支出",'收支明細'!$A:$A,A223))</f>
        <v/>
      </c>
      <c r="H223" s="40" t="str">
        <f>IF(OR(A223="",A223&lt;'月度總覽'!$F$6),0,'月度總覽'!$F$13)</f>
        <v>0.00</v>
      </c>
      <c r="I223" s="40" t="str">
        <f t="shared" si="2"/>
        <v/>
      </c>
      <c r="J223" s="40" t="str">
        <f>IF(OR(A223="",A223&lt;'月度總覽'!$F$6),"",'月度總覽'!$F$12-SUM($H$5:H223)+IF(AND('月度總覽'!$B$10="到帳日自動計入",'月度總覽'!$B$8&gt;'月度總覽'!$B$7,'月度總覽'!$B$8&lt;=A223),'月度總覽'!$B$9,0)+SUMIFS($E$5:E223,$A$5:A223,"&gt;"&amp;'月度總覽'!$B$7)-SUMIFS($G$5:G223,$A$5:A223,"&gt;"&amp;'月度總覽'!$B$7))</f>
        <v/>
      </c>
    </row>
    <row r="224" ht="15.75" customHeight="1">
      <c r="A224" s="39" t="str">
        <f>IF(220&lt;='月度總覽'!$F$5,'月度總覽'!$B$5+220-1,"")</f>
        <v/>
      </c>
      <c r="B224" t="str">
        <f t="shared" si="1"/>
        <v/>
      </c>
      <c r="C224" t="str">
        <f>IF(A224="","",IF(A224&lt;'月度總覽'!$F$6,"已過",IF(A224='月度總覽'!$F$6,"基準日","未來")))</f>
        <v/>
      </c>
      <c r="D224" s="40" t="str">
        <f>IF(A224="","",IF(A224='月度總覽'!$B$8,'月度總覽'!$B$9,0))</f>
        <v/>
      </c>
      <c r="E224" s="40" t="str">
        <f>IF(A224="","",SUMIFS('收支明細'!$E:$E,'收支明細'!$B:$B,"收入",'收支明細'!$A:$A,A224))</f>
        <v/>
      </c>
      <c r="F224" s="40" t="str">
        <f>IF(A224="","",SUMIFS('固定支出'!$C:$C,'固定支出'!$G:$G,"是",'固定支出'!$D:$D,A224))</f>
        <v/>
      </c>
      <c r="G224" s="40" t="str">
        <f>IF(A224="","",SUMIFS('收支明細'!$E:$E,'收支明細'!$B:$B,"支出",'收支明細'!$A:$A,A224))</f>
        <v/>
      </c>
      <c r="H224" s="40" t="str">
        <f>IF(OR(A224="",A224&lt;'月度總覽'!$F$6),0,'月度總覽'!$F$13)</f>
        <v>0.00</v>
      </c>
      <c r="I224" s="40" t="str">
        <f t="shared" si="2"/>
        <v/>
      </c>
      <c r="J224" s="40" t="str">
        <f>IF(OR(A224="",A224&lt;'月度總覽'!$F$6),"",'月度總覽'!$F$12-SUM($H$5:H224)+IF(AND('月度總覽'!$B$10="到帳日自動計入",'月度總覽'!$B$8&gt;'月度總覽'!$B$7,'月度總覽'!$B$8&lt;=A224),'月度總覽'!$B$9,0)+SUMIFS($E$5:E224,$A$5:A224,"&gt;"&amp;'月度總覽'!$B$7)-SUMIFS($G$5:G224,$A$5:A224,"&gt;"&amp;'月度總覽'!$B$7))</f>
        <v/>
      </c>
    </row>
    <row r="225" ht="15.75" customHeight="1">
      <c r="A225" s="39" t="str">
        <f>IF(221&lt;='月度總覽'!$F$5,'月度總覽'!$B$5+221-1,"")</f>
        <v/>
      </c>
      <c r="B225" t="str">
        <f t="shared" si="1"/>
        <v/>
      </c>
      <c r="C225" t="str">
        <f>IF(A225="","",IF(A225&lt;'月度總覽'!$F$6,"已過",IF(A225='月度總覽'!$F$6,"基準日","未來")))</f>
        <v/>
      </c>
      <c r="D225" s="40" t="str">
        <f>IF(A225="","",IF(A225='月度總覽'!$B$8,'月度總覽'!$B$9,0))</f>
        <v/>
      </c>
      <c r="E225" s="40" t="str">
        <f>IF(A225="","",SUMIFS('收支明細'!$E:$E,'收支明細'!$B:$B,"收入",'收支明細'!$A:$A,A225))</f>
        <v/>
      </c>
      <c r="F225" s="40" t="str">
        <f>IF(A225="","",SUMIFS('固定支出'!$C:$C,'固定支出'!$G:$G,"是",'固定支出'!$D:$D,A225))</f>
        <v/>
      </c>
      <c r="G225" s="40" t="str">
        <f>IF(A225="","",SUMIFS('收支明細'!$E:$E,'收支明細'!$B:$B,"支出",'收支明細'!$A:$A,A225))</f>
        <v/>
      </c>
      <c r="H225" s="40" t="str">
        <f>IF(OR(A225="",A225&lt;'月度總覽'!$F$6),0,'月度總覽'!$F$13)</f>
        <v>0.00</v>
      </c>
      <c r="I225" s="40" t="str">
        <f t="shared" si="2"/>
        <v/>
      </c>
      <c r="J225" s="40" t="str">
        <f>IF(OR(A225="",A225&lt;'月度總覽'!$F$6),"",'月度總覽'!$F$12-SUM($H$5:H225)+IF(AND('月度總覽'!$B$10="到帳日自動計入",'月度總覽'!$B$8&gt;'月度總覽'!$B$7,'月度總覽'!$B$8&lt;=A225),'月度總覽'!$B$9,0)+SUMIFS($E$5:E225,$A$5:A225,"&gt;"&amp;'月度總覽'!$B$7)-SUMIFS($G$5:G225,$A$5:A225,"&gt;"&amp;'月度總覽'!$B$7))</f>
        <v/>
      </c>
    </row>
    <row r="226" ht="15.75" customHeight="1">
      <c r="A226" s="39" t="str">
        <f>IF(222&lt;='月度總覽'!$F$5,'月度總覽'!$B$5+222-1,"")</f>
        <v/>
      </c>
      <c r="B226" t="str">
        <f t="shared" si="1"/>
        <v/>
      </c>
      <c r="C226" t="str">
        <f>IF(A226="","",IF(A226&lt;'月度總覽'!$F$6,"已過",IF(A226='月度總覽'!$F$6,"基準日","未來")))</f>
        <v/>
      </c>
      <c r="D226" s="40" t="str">
        <f>IF(A226="","",IF(A226='月度總覽'!$B$8,'月度總覽'!$B$9,0))</f>
        <v/>
      </c>
      <c r="E226" s="40" t="str">
        <f>IF(A226="","",SUMIFS('收支明細'!$E:$E,'收支明細'!$B:$B,"收入",'收支明細'!$A:$A,A226))</f>
        <v/>
      </c>
      <c r="F226" s="40" t="str">
        <f>IF(A226="","",SUMIFS('固定支出'!$C:$C,'固定支出'!$G:$G,"是",'固定支出'!$D:$D,A226))</f>
        <v/>
      </c>
      <c r="G226" s="40" t="str">
        <f>IF(A226="","",SUMIFS('收支明細'!$E:$E,'收支明細'!$B:$B,"支出",'收支明細'!$A:$A,A226))</f>
        <v/>
      </c>
      <c r="H226" s="40" t="str">
        <f>IF(OR(A226="",A226&lt;'月度總覽'!$F$6),0,'月度總覽'!$F$13)</f>
        <v>0.00</v>
      </c>
      <c r="I226" s="40" t="str">
        <f t="shared" si="2"/>
        <v/>
      </c>
      <c r="J226" s="40" t="str">
        <f>IF(OR(A226="",A226&lt;'月度總覽'!$F$6),"",'月度總覽'!$F$12-SUM($H$5:H226)+IF(AND('月度總覽'!$B$10="到帳日自動計入",'月度總覽'!$B$8&gt;'月度總覽'!$B$7,'月度總覽'!$B$8&lt;=A226),'月度總覽'!$B$9,0)+SUMIFS($E$5:E226,$A$5:A226,"&gt;"&amp;'月度總覽'!$B$7)-SUMIFS($G$5:G226,$A$5:A226,"&gt;"&amp;'月度總覽'!$B$7))</f>
        <v/>
      </c>
    </row>
    <row r="227" ht="15.75" customHeight="1">
      <c r="A227" s="39" t="str">
        <f>IF(223&lt;='月度總覽'!$F$5,'月度總覽'!$B$5+223-1,"")</f>
        <v/>
      </c>
      <c r="B227" t="str">
        <f t="shared" si="1"/>
        <v/>
      </c>
      <c r="C227" t="str">
        <f>IF(A227="","",IF(A227&lt;'月度總覽'!$F$6,"已過",IF(A227='月度總覽'!$F$6,"基準日","未來")))</f>
        <v/>
      </c>
      <c r="D227" s="40" t="str">
        <f>IF(A227="","",IF(A227='月度總覽'!$B$8,'月度總覽'!$B$9,0))</f>
        <v/>
      </c>
      <c r="E227" s="40" t="str">
        <f>IF(A227="","",SUMIFS('收支明細'!$E:$E,'收支明細'!$B:$B,"收入",'收支明細'!$A:$A,A227))</f>
        <v/>
      </c>
      <c r="F227" s="40" t="str">
        <f>IF(A227="","",SUMIFS('固定支出'!$C:$C,'固定支出'!$G:$G,"是",'固定支出'!$D:$D,A227))</f>
        <v/>
      </c>
      <c r="G227" s="40" t="str">
        <f>IF(A227="","",SUMIFS('收支明細'!$E:$E,'收支明細'!$B:$B,"支出",'收支明細'!$A:$A,A227))</f>
        <v/>
      </c>
      <c r="H227" s="40" t="str">
        <f>IF(OR(A227="",A227&lt;'月度總覽'!$F$6),0,'月度總覽'!$F$13)</f>
        <v>0.00</v>
      </c>
      <c r="I227" s="40" t="str">
        <f t="shared" si="2"/>
        <v/>
      </c>
      <c r="J227" s="40" t="str">
        <f>IF(OR(A227="",A227&lt;'月度總覽'!$F$6),"",'月度總覽'!$F$12-SUM($H$5:H227)+IF(AND('月度總覽'!$B$10="到帳日自動計入",'月度總覽'!$B$8&gt;'月度總覽'!$B$7,'月度總覽'!$B$8&lt;=A227),'月度總覽'!$B$9,0)+SUMIFS($E$5:E227,$A$5:A227,"&gt;"&amp;'月度總覽'!$B$7)-SUMIFS($G$5:G227,$A$5:A227,"&gt;"&amp;'月度總覽'!$B$7))</f>
        <v/>
      </c>
    </row>
    <row r="228" ht="15.75" customHeight="1">
      <c r="A228" s="39" t="str">
        <f>IF(224&lt;='月度總覽'!$F$5,'月度總覽'!$B$5+224-1,"")</f>
        <v/>
      </c>
      <c r="B228" t="str">
        <f t="shared" si="1"/>
        <v/>
      </c>
      <c r="C228" t="str">
        <f>IF(A228="","",IF(A228&lt;'月度總覽'!$F$6,"已過",IF(A228='月度總覽'!$F$6,"基準日","未來")))</f>
        <v/>
      </c>
      <c r="D228" s="40" t="str">
        <f>IF(A228="","",IF(A228='月度總覽'!$B$8,'月度總覽'!$B$9,0))</f>
        <v/>
      </c>
      <c r="E228" s="40" t="str">
        <f>IF(A228="","",SUMIFS('收支明細'!$E:$E,'收支明細'!$B:$B,"收入",'收支明細'!$A:$A,A228))</f>
        <v/>
      </c>
      <c r="F228" s="40" t="str">
        <f>IF(A228="","",SUMIFS('固定支出'!$C:$C,'固定支出'!$G:$G,"是",'固定支出'!$D:$D,A228))</f>
        <v/>
      </c>
      <c r="G228" s="40" t="str">
        <f>IF(A228="","",SUMIFS('收支明細'!$E:$E,'收支明細'!$B:$B,"支出",'收支明細'!$A:$A,A228))</f>
        <v/>
      </c>
      <c r="H228" s="40" t="str">
        <f>IF(OR(A228="",A228&lt;'月度總覽'!$F$6),0,'月度總覽'!$F$13)</f>
        <v>0.00</v>
      </c>
      <c r="I228" s="40" t="str">
        <f t="shared" si="2"/>
        <v/>
      </c>
      <c r="J228" s="40" t="str">
        <f>IF(OR(A228="",A228&lt;'月度總覽'!$F$6),"",'月度總覽'!$F$12-SUM($H$5:H228)+IF(AND('月度總覽'!$B$10="到帳日自動計入",'月度總覽'!$B$8&gt;'月度總覽'!$B$7,'月度總覽'!$B$8&lt;=A228),'月度總覽'!$B$9,0)+SUMIFS($E$5:E228,$A$5:A228,"&gt;"&amp;'月度總覽'!$B$7)-SUMIFS($G$5:G228,$A$5:A228,"&gt;"&amp;'月度總覽'!$B$7))</f>
        <v/>
      </c>
    </row>
    <row r="229" ht="15.75" customHeight="1">
      <c r="A229" s="39" t="str">
        <f>IF(225&lt;='月度總覽'!$F$5,'月度總覽'!$B$5+225-1,"")</f>
        <v/>
      </c>
      <c r="B229" t="str">
        <f t="shared" si="1"/>
        <v/>
      </c>
      <c r="C229" t="str">
        <f>IF(A229="","",IF(A229&lt;'月度總覽'!$F$6,"已過",IF(A229='月度總覽'!$F$6,"基準日","未來")))</f>
        <v/>
      </c>
      <c r="D229" s="40" t="str">
        <f>IF(A229="","",IF(A229='月度總覽'!$B$8,'月度總覽'!$B$9,0))</f>
        <v/>
      </c>
      <c r="E229" s="40" t="str">
        <f>IF(A229="","",SUMIFS('收支明細'!$E:$E,'收支明細'!$B:$B,"收入",'收支明細'!$A:$A,A229))</f>
        <v/>
      </c>
      <c r="F229" s="40" t="str">
        <f>IF(A229="","",SUMIFS('固定支出'!$C:$C,'固定支出'!$G:$G,"是",'固定支出'!$D:$D,A229))</f>
        <v/>
      </c>
      <c r="G229" s="40" t="str">
        <f>IF(A229="","",SUMIFS('收支明細'!$E:$E,'收支明細'!$B:$B,"支出",'收支明細'!$A:$A,A229))</f>
        <v/>
      </c>
      <c r="H229" s="40" t="str">
        <f>IF(OR(A229="",A229&lt;'月度總覽'!$F$6),0,'月度總覽'!$F$13)</f>
        <v>0.00</v>
      </c>
      <c r="I229" s="40" t="str">
        <f t="shared" si="2"/>
        <v/>
      </c>
      <c r="J229" s="40" t="str">
        <f>IF(OR(A229="",A229&lt;'月度總覽'!$F$6),"",'月度總覽'!$F$12-SUM($H$5:H229)+IF(AND('月度總覽'!$B$10="到帳日自動計入",'月度總覽'!$B$8&gt;'月度總覽'!$B$7,'月度總覽'!$B$8&lt;=A229),'月度總覽'!$B$9,0)+SUMIFS($E$5:E229,$A$5:A229,"&gt;"&amp;'月度總覽'!$B$7)-SUMIFS($G$5:G229,$A$5:A229,"&gt;"&amp;'月度總覽'!$B$7))</f>
        <v/>
      </c>
    </row>
    <row r="230" ht="15.75" customHeight="1">
      <c r="A230" s="39" t="str">
        <f>IF(226&lt;='月度總覽'!$F$5,'月度總覽'!$B$5+226-1,"")</f>
        <v/>
      </c>
      <c r="B230" t="str">
        <f t="shared" si="1"/>
        <v/>
      </c>
      <c r="C230" t="str">
        <f>IF(A230="","",IF(A230&lt;'月度總覽'!$F$6,"已過",IF(A230='月度總覽'!$F$6,"基準日","未來")))</f>
        <v/>
      </c>
      <c r="D230" s="40" t="str">
        <f>IF(A230="","",IF(A230='月度總覽'!$B$8,'月度總覽'!$B$9,0))</f>
        <v/>
      </c>
      <c r="E230" s="40" t="str">
        <f>IF(A230="","",SUMIFS('收支明細'!$E:$E,'收支明細'!$B:$B,"收入",'收支明細'!$A:$A,A230))</f>
        <v/>
      </c>
      <c r="F230" s="40" t="str">
        <f>IF(A230="","",SUMIFS('固定支出'!$C:$C,'固定支出'!$G:$G,"是",'固定支出'!$D:$D,A230))</f>
        <v/>
      </c>
      <c r="G230" s="40" t="str">
        <f>IF(A230="","",SUMIFS('收支明細'!$E:$E,'收支明細'!$B:$B,"支出",'收支明細'!$A:$A,A230))</f>
        <v/>
      </c>
      <c r="H230" s="40" t="str">
        <f>IF(OR(A230="",A230&lt;'月度總覽'!$F$6),0,'月度總覽'!$F$13)</f>
        <v>0.00</v>
      </c>
      <c r="I230" s="40" t="str">
        <f t="shared" si="2"/>
        <v/>
      </c>
      <c r="J230" s="40" t="str">
        <f>IF(OR(A230="",A230&lt;'月度總覽'!$F$6),"",'月度總覽'!$F$12-SUM($H$5:H230)+IF(AND('月度總覽'!$B$10="到帳日自動計入",'月度總覽'!$B$8&gt;'月度總覽'!$B$7,'月度總覽'!$B$8&lt;=A230),'月度總覽'!$B$9,0)+SUMIFS($E$5:E230,$A$5:A230,"&gt;"&amp;'月度總覽'!$B$7)-SUMIFS($G$5:G230,$A$5:A230,"&gt;"&amp;'月度總覽'!$B$7))</f>
        <v/>
      </c>
    </row>
    <row r="231" ht="15.75" customHeight="1">
      <c r="A231" s="39" t="str">
        <f>IF(227&lt;='月度總覽'!$F$5,'月度總覽'!$B$5+227-1,"")</f>
        <v/>
      </c>
      <c r="B231" t="str">
        <f t="shared" si="1"/>
        <v/>
      </c>
      <c r="C231" t="str">
        <f>IF(A231="","",IF(A231&lt;'月度總覽'!$F$6,"已過",IF(A231='月度總覽'!$F$6,"基準日","未來")))</f>
        <v/>
      </c>
      <c r="D231" s="40" t="str">
        <f>IF(A231="","",IF(A231='月度總覽'!$B$8,'月度總覽'!$B$9,0))</f>
        <v/>
      </c>
      <c r="E231" s="40" t="str">
        <f>IF(A231="","",SUMIFS('收支明細'!$E:$E,'收支明細'!$B:$B,"收入",'收支明細'!$A:$A,A231))</f>
        <v/>
      </c>
      <c r="F231" s="40" t="str">
        <f>IF(A231="","",SUMIFS('固定支出'!$C:$C,'固定支出'!$G:$G,"是",'固定支出'!$D:$D,A231))</f>
        <v/>
      </c>
      <c r="G231" s="40" t="str">
        <f>IF(A231="","",SUMIFS('收支明細'!$E:$E,'收支明細'!$B:$B,"支出",'收支明細'!$A:$A,A231))</f>
        <v/>
      </c>
      <c r="H231" s="40" t="str">
        <f>IF(OR(A231="",A231&lt;'月度總覽'!$F$6),0,'月度總覽'!$F$13)</f>
        <v>0.00</v>
      </c>
      <c r="I231" s="40" t="str">
        <f t="shared" si="2"/>
        <v/>
      </c>
      <c r="J231" s="40" t="str">
        <f>IF(OR(A231="",A231&lt;'月度總覽'!$F$6),"",'月度總覽'!$F$12-SUM($H$5:H231)+IF(AND('月度總覽'!$B$10="到帳日自動計入",'月度總覽'!$B$8&gt;'月度總覽'!$B$7,'月度總覽'!$B$8&lt;=A231),'月度總覽'!$B$9,0)+SUMIFS($E$5:E231,$A$5:A231,"&gt;"&amp;'月度總覽'!$B$7)-SUMIFS($G$5:G231,$A$5:A231,"&gt;"&amp;'月度總覽'!$B$7))</f>
        <v/>
      </c>
    </row>
    <row r="232" ht="15.75" customHeight="1">
      <c r="A232" s="39" t="str">
        <f>IF(228&lt;='月度總覽'!$F$5,'月度總覽'!$B$5+228-1,"")</f>
        <v/>
      </c>
      <c r="B232" t="str">
        <f t="shared" si="1"/>
        <v/>
      </c>
      <c r="C232" t="str">
        <f>IF(A232="","",IF(A232&lt;'月度總覽'!$F$6,"已過",IF(A232='月度總覽'!$F$6,"基準日","未來")))</f>
        <v/>
      </c>
      <c r="D232" s="40" t="str">
        <f>IF(A232="","",IF(A232='月度總覽'!$B$8,'月度總覽'!$B$9,0))</f>
        <v/>
      </c>
      <c r="E232" s="40" t="str">
        <f>IF(A232="","",SUMIFS('收支明細'!$E:$E,'收支明細'!$B:$B,"收入",'收支明細'!$A:$A,A232))</f>
        <v/>
      </c>
      <c r="F232" s="40" t="str">
        <f>IF(A232="","",SUMIFS('固定支出'!$C:$C,'固定支出'!$G:$G,"是",'固定支出'!$D:$D,A232))</f>
        <v/>
      </c>
      <c r="G232" s="40" t="str">
        <f>IF(A232="","",SUMIFS('收支明細'!$E:$E,'收支明細'!$B:$B,"支出",'收支明細'!$A:$A,A232))</f>
        <v/>
      </c>
      <c r="H232" s="40" t="str">
        <f>IF(OR(A232="",A232&lt;'月度總覽'!$F$6),0,'月度總覽'!$F$13)</f>
        <v>0.00</v>
      </c>
      <c r="I232" s="40" t="str">
        <f t="shared" si="2"/>
        <v/>
      </c>
      <c r="J232" s="40" t="str">
        <f>IF(OR(A232="",A232&lt;'月度總覽'!$F$6),"",'月度總覽'!$F$12-SUM($H$5:H232)+IF(AND('月度總覽'!$B$10="到帳日自動計入",'月度總覽'!$B$8&gt;'月度總覽'!$B$7,'月度總覽'!$B$8&lt;=A232),'月度總覽'!$B$9,0)+SUMIFS($E$5:E232,$A$5:A232,"&gt;"&amp;'月度總覽'!$B$7)-SUMIFS($G$5:G232,$A$5:A232,"&gt;"&amp;'月度總覽'!$B$7))</f>
        <v/>
      </c>
    </row>
    <row r="233" ht="15.75" customHeight="1">
      <c r="A233" s="39" t="str">
        <f>IF(229&lt;='月度總覽'!$F$5,'月度總覽'!$B$5+229-1,"")</f>
        <v/>
      </c>
      <c r="B233" t="str">
        <f t="shared" si="1"/>
        <v/>
      </c>
      <c r="C233" t="str">
        <f>IF(A233="","",IF(A233&lt;'月度總覽'!$F$6,"已過",IF(A233='月度總覽'!$F$6,"基準日","未來")))</f>
        <v/>
      </c>
      <c r="D233" s="40" t="str">
        <f>IF(A233="","",IF(A233='月度總覽'!$B$8,'月度總覽'!$B$9,0))</f>
        <v/>
      </c>
      <c r="E233" s="40" t="str">
        <f>IF(A233="","",SUMIFS('收支明細'!$E:$E,'收支明細'!$B:$B,"收入",'收支明細'!$A:$A,A233))</f>
        <v/>
      </c>
      <c r="F233" s="40" t="str">
        <f>IF(A233="","",SUMIFS('固定支出'!$C:$C,'固定支出'!$G:$G,"是",'固定支出'!$D:$D,A233))</f>
        <v/>
      </c>
      <c r="G233" s="40" t="str">
        <f>IF(A233="","",SUMIFS('收支明細'!$E:$E,'收支明細'!$B:$B,"支出",'收支明細'!$A:$A,A233))</f>
        <v/>
      </c>
      <c r="H233" s="40" t="str">
        <f>IF(OR(A233="",A233&lt;'月度總覽'!$F$6),0,'月度總覽'!$F$13)</f>
        <v>0.00</v>
      </c>
      <c r="I233" s="40" t="str">
        <f t="shared" si="2"/>
        <v/>
      </c>
      <c r="J233" s="40" t="str">
        <f>IF(OR(A233="",A233&lt;'月度總覽'!$F$6),"",'月度總覽'!$F$12-SUM($H$5:H233)+IF(AND('月度總覽'!$B$10="到帳日自動計入",'月度總覽'!$B$8&gt;'月度總覽'!$B$7,'月度總覽'!$B$8&lt;=A233),'月度總覽'!$B$9,0)+SUMIFS($E$5:E233,$A$5:A233,"&gt;"&amp;'月度總覽'!$B$7)-SUMIFS($G$5:G233,$A$5:A233,"&gt;"&amp;'月度總覽'!$B$7))</f>
        <v/>
      </c>
    </row>
    <row r="234" ht="15.75" customHeight="1">
      <c r="A234" s="39" t="str">
        <f>IF(230&lt;='月度總覽'!$F$5,'月度總覽'!$B$5+230-1,"")</f>
        <v/>
      </c>
      <c r="B234" t="str">
        <f t="shared" si="1"/>
        <v/>
      </c>
      <c r="C234" t="str">
        <f>IF(A234="","",IF(A234&lt;'月度總覽'!$F$6,"已過",IF(A234='月度總覽'!$F$6,"基準日","未來")))</f>
        <v/>
      </c>
      <c r="D234" s="40" t="str">
        <f>IF(A234="","",IF(A234='月度總覽'!$B$8,'月度總覽'!$B$9,0))</f>
        <v/>
      </c>
      <c r="E234" s="40" t="str">
        <f>IF(A234="","",SUMIFS('收支明細'!$E:$E,'收支明細'!$B:$B,"收入",'收支明細'!$A:$A,A234))</f>
        <v/>
      </c>
      <c r="F234" s="40" t="str">
        <f>IF(A234="","",SUMIFS('固定支出'!$C:$C,'固定支出'!$G:$G,"是",'固定支出'!$D:$D,A234))</f>
        <v/>
      </c>
      <c r="G234" s="40" t="str">
        <f>IF(A234="","",SUMIFS('收支明細'!$E:$E,'收支明細'!$B:$B,"支出",'收支明細'!$A:$A,A234))</f>
        <v/>
      </c>
      <c r="H234" s="40" t="str">
        <f>IF(OR(A234="",A234&lt;'月度總覽'!$F$6),0,'月度總覽'!$F$13)</f>
        <v>0.00</v>
      </c>
      <c r="I234" s="40" t="str">
        <f t="shared" si="2"/>
        <v/>
      </c>
      <c r="J234" s="40" t="str">
        <f>IF(OR(A234="",A234&lt;'月度總覽'!$F$6),"",'月度總覽'!$F$12-SUM($H$5:H234)+IF(AND('月度總覽'!$B$10="到帳日自動計入",'月度總覽'!$B$8&gt;'月度總覽'!$B$7,'月度總覽'!$B$8&lt;=A234),'月度總覽'!$B$9,0)+SUMIFS($E$5:E234,$A$5:A234,"&gt;"&amp;'月度總覽'!$B$7)-SUMIFS($G$5:G234,$A$5:A234,"&gt;"&amp;'月度總覽'!$B$7))</f>
        <v/>
      </c>
    </row>
    <row r="235" ht="15.75" customHeight="1">
      <c r="A235" s="39" t="str">
        <f>IF(231&lt;='月度總覽'!$F$5,'月度總覽'!$B$5+231-1,"")</f>
        <v/>
      </c>
      <c r="B235" t="str">
        <f t="shared" si="1"/>
        <v/>
      </c>
      <c r="C235" t="str">
        <f>IF(A235="","",IF(A235&lt;'月度總覽'!$F$6,"已過",IF(A235='月度總覽'!$F$6,"基準日","未來")))</f>
        <v/>
      </c>
      <c r="D235" s="40" t="str">
        <f>IF(A235="","",IF(A235='月度總覽'!$B$8,'月度總覽'!$B$9,0))</f>
        <v/>
      </c>
      <c r="E235" s="40" t="str">
        <f>IF(A235="","",SUMIFS('收支明細'!$E:$E,'收支明細'!$B:$B,"收入",'收支明細'!$A:$A,A235))</f>
        <v/>
      </c>
      <c r="F235" s="40" t="str">
        <f>IF(A235="","",SUMIFS('固定支出'!$C:$C,'固定支出'!$G:$G,"是",'固定支出'!$D:$D,A235))</f>
        <v/>
      </c>
      <c r="G235" s="40" t="str">
        <f>IF(A235="","",SUMIFS('收支明細'!$E:$E,'收支明細'!$B:$B,"支出",'收支明細'!$A:$A,A235))</f>
        <v/>
      </c>
      <c r="H235" s="40" t="str">
        <f>IF(OR(A235="",A235&lt;'月度總覽'!$F$6),0,'月度總覽'!$F$13)</f>
        <v>0.00</v>
      </c>
      <c r="I235" s="40" t="str">
        <f t="shared" si="2"/>
        <v/>
      </c>
      <c r="J235" s="40" t="str">
        <f>IF(OR(A235="",A235&lt;'月度總覽'!$F$6),"",'月度總覽'!$F$12-SUM($H$5:H235)+IF(AND('月度總覽'!$B$10="到帳日自動計入",'月度總覽'!$B$8&gt;'月度總覽'!$B$7,'月度總覽'!$B$8&lt;=A235),'月度總覽'!$B$9,0)+SUMIFS($E$5:E235,$A$5:A235,"&gt;"&amp;'月度總覽'!$B$7)-SUMIFS($G$5:G235,$A$5:A235,"&gt;"&amp;'月度總覽'!$B$7))</f>
        <v/>
      </c>
    </row>
    <row r="236" ht="15.75" customHeight="1">
      <c r="A236" s="39" t="str">
        <f>IF(232&lt;='月度總覽'!$F$5,'月度總覽'!$B$5+232-1,"")</f>
        <v/>
      </c>
      <c r="B236" t="str">
        <f t="shared" si="1"/>
        <v/>
      </c>
      <c r="C236" t="str">
        <f>IF(A236="","",IF(A236&lt;'月度總覽'!$F$6,"已過",IF(A236='月度總覽'!$F$6,"基準日","未來")))</f>
        <v/>
      </c>
      <c r="D236" s="40" t="str">
        <f>IF(A236="","",IF(A236='月度總覽'!$B$8,'月度總覽'!$B$9,0))</f>
        <v/>
      </c>
      <c r="E236" s="40" t="str">
        <f>IF(A236="","",SUMIFS('收支明細'!$E:$E,'收支明細'!$B:$B,"收入",'收支明細'!$A:$A,A236))</f>
        <v/>
      </c>
      <c r="F236" s="40" t="str">
        <f>IF(A236="","",SUMIFS('固定支出'!$C:$C,'固定支出'!$G:$G,"是",'固定支出'!$D:$D,A236))</f>
        <v/>
      </c>
      <c r="G236" s="40" t="str">
        <f>IF(A236="","",SUMIFS('收支明細'!$E:$E,'收支明細'!$B:$B,"支出",'收支明細'!$A:$A,A236))</f>
        <v/>
      </c>
      <c r="H236" s="40" t="str">
        <f>IF(OR(A236="",A236&lt;'月度總覽'!$F$6),0,'月度總覽'!$F$13)</f>
        <v>0.00</v>
      </c>
      <c r="I236" s="40" t="str">
        <f t="shared" si="2"/>
        <v/>
      </c>
      <c r="J236" s="40" t="str">
        <f>IF(OR(A236="",A236&lt;'月度總覽'!$F$6),"",'月度總覽'!$F$12-SUM($H$5:H236)+IF(AND('月度總覽'!$B$10="到帳日自動計入",'月度總覽'!$B$8&gt;'月度總覽'!$B$7,'月度總覽'!$B$8&lt;=A236),'月度總覽'!$B$9,0)+SUMIFS($E$5:E236,$A$5:A236,"&gt;"&amp;'月度總覽'!$B$7)-SUMIFS($G$5:G236,$A$5:A236,"&gt;"&amp;'月度總覽'!$B$7))</f>
        <v/>
      </c>
    </row>
    <row r="237" ht="15.75" customHeight="1">
      <c r="A237" s="39" t="str">
        <f>IF(233&lt;='月度總覽'!$F$5,'月度總覽'!$B$5+233-1,"")</f>
        <v/>
      </c>
      <c r="B237" t="str">
        <f t="shared" si="1"/>
        <v/>
      </c>
      <c r="C237" t="str">
        <f>IF(A237="","",IF(A237&lt;'月度總覽'!$F$6,"已過",IF(A237='月度總覽'!$F$6,"基準日","未來")))</f>
        <v/>
      </c>
      <c r="D237" s="40" t="str">
        <f>IF(A237="","",IF(A237='月度總覽'!$B$8,'月度總覽'!$B$9,0))</f>
        <v/>
      </c>
      <c r="E237" s="40" t="str">
        <f>IF(A237="","",SUMIFS('收支明細'!$E:$E,'收支明細'!$B:$B,"收入",'收支明細'!$A:$A,A237))</f>
        <v/>
      </c>
      <c r="F237" s="40" t="str">
        <f>IF(A237="","",SUMIFS('固定支出'!$C:$C,'固定支出'!$G:$G,"是",'固定支出'!$D:$D,A237))</f>
        <v/>
      </c>
      <c r="G237" s="40" t="str">
        <f>IF(A237="","",SUMIFS('收支明細'!$E:$E,'收支明細'!$B:$B,"支出",'收支明細'!$A:$A,A237))</f>
        <v/>
      </c>
      <c r="H237" s="40" t="str">
        <f>IF(OR(A237="",A237&lt;'月度總覽'!$F$6),0,'月度總覽'!$F$13)</f>
        <v>0.00</v>
      </c>
      <c r="I237" s="40" t="str">
        <f t="shared" si="2"/>
        <v/>
      </c>
      <c r="J237" s="40" t="str">
        <f>IF(OR(A237="",A237&lt;'月度總覽'!$F$6),"",'月度總覽'!$F$12-SUM($H$5:H237)+IF(AND('月度總覽'!$B$10="到帳日自動計入",'月度總覽'!$B$8&gt;'月度總覽'!$B$7,'月度總覽'!$B$8&lt;=A237),'月度總覽'!$B$9,0)+SUMIFS($E$5:E237,$A$5:A237,"&gt;"&amp;'月度總覽'!$B$7)-SUMIFS($G$5:G237,$A$5:A237,"&gt;"&amp;'月度總覽'!$B$7))</f>
        <v/>
      </c>
    </row>
    <row r="238" ht="15.75" customHeight="1">
      <c r="A238" s="39" t="str">
        <f>IF(234&lt;='月度總覽'!$F$5,'月度總覽'!$B$5+234-1,"")</f>
        <v/>
      </c>
      <c r="B238" t="str">
        <f t="shared" si="1"/>
        <v/>
      </c>
      <c r="C238" t="str">
        <f>IF(A238="","",IF(A238&lt;'月度總覽'!$F$6,"已過",IF(A238='月度總覽'!$F$6,"基準日","未來")))</f>
        <v/>
      </c>
      <c r="D238" s="40" t="str">
        <f>IF(A238="","",IF(A238='月度總覽'!$B$8,'月度總覽'!$B$9,0))</f>
        <v/>
      </c>
      <c r="E238" s="40" t="str">
        <f>IF(A238="","",SUMIFS('收支明細'!$E:$E,'收支明細'!$B:$B,"收入",'收支明細'!$A:$A,A238))</f>
        <v/>
      </c>
      <c r="F238" s="40" t="str">
        <f>IF(A238="","",SUMIFS('固定支出'!$C:$C,'固定支出'!$G:$G,"是",'固定支出'!$D:$D,A238))</f>
        <v/>
      </c>
      <c r="G238" s="40" t="str">
        <f>IF(A238="","",SUMIFS('收支明細'!$E:$E,'收支明細'!$B:$B,"支出",'收支明細'!$A:$A,A238))</f>
        <v/>
      </c>
      <c r="H238" s="40" t="str">
        <f>IF(OR(A238="",A238&lt;'月度總覽'!$F$6),0,'月度總覽'!$F$13)</f>
        <v>0.00</v>
      </c>
      <c r="I238" s="40" t="str">
        <f t="shared" si="2"/>
        <v/>
      </c>
      <c r="J238" s="40" t="str">
        <f>IF(OR(A238="",A238&lt;'月度總覽'!$F$6),"",'月度總覽'!$F$12-SUM($H$5:H238)+IF(AND('月度總覽'!$B$10="到帳日自動計入",'月度總覽'!$B$8&gt;'月度總覽'!$B$7,'月度總覽'!$B$8&lt;=A238),'月度總覽'!$B$9,0)+SUMIFS($E$5:E238,$A$5:A238,"&gt;"&amp;'月度總覽'!$B$7)-SUMIFS($G$5:G238,$A$5:A238,"&gt;"&amp;'月度總覽'!$B$7))</f>
        <v/>
      </c>
    </row>
    <row r="239" ht="15.75" customHeight="1">
      <c r="A239" s="39" t="str">
        <f>IF(235&lt;='月度總覽'!$F$5,'月度總覽'!$B$5+235-1,"")</f>
        <v/>
      </c>
      <c r="B239" t="str">
        <f t="shared" si="1"/>
        <v/>
      </c>
      <c r="C239" t="str">
        <f>IF(A239="","",IF(A239&lt;'月度總覽'!$F$6,"已過",IF(A239='月度總覽'!$F$6,"基準日","未來")))</f>
        <v/>
      </c>
      <c r="D239" s="40" t="str">
        <f>IF(A239="","",IF(A239='月度總覽'!$B$8,'月度總覽'!$B$9,0))</f>
        <v/>
      </c>
      <c r="E239" s="40" t="str">
        <f>IF(A239="","",SUMIFS('收支明細'!$E:$E,'收支明細'!$B:$B,"收入",'收支明細'!$A:$A,A239))</f>
        <v/>
      </c>
      <c r="F239" s="40" t="str">
        <f>IF(A239="","",SUMIFS('固定支出'!$C:$C,'固定支出'!$G:$G,"是",'固定支出'!$D:$D,A239))</f>
        <v/>
      </c>
      <c r="G239" s="40" t="str">
        <f>IF(A239="","",SUMIFS('收支明細'!$E:$E,'收支明細'!$B:$B,"支出",'收支明細'!$A:$A,A239))</f>
        <v/>
      </c>
      <c r="H239" s="40" t="str">
        <f>IF(OR(A239="",A239&lt;'月度總覽'!$F$6),0,'月度總覽'!$F$13)</f>
        <v>0.00</v>
      </c>
      <c r="I239" s="40" t="str">
        <f t="shared" si="2"/>
        <v/>
      </c>
      <c r="J239" s="40" t="str">
        <f>IF(OR(A239="",A239&lt;'月度總覽'!$F$6),"",'月度總覽'!$F$12-SUM($H$5:H239)+IF(AND('月度總覽'!$B$10="到帳日自動計入",'月度總覽'!$B$8&gt;'月度總覽'!$B$7,'月度總覽'!$B$8&lt;=A239),'月度總覽'!$B$9,0)+SUMIFS($E$5:E239,$A$5:A239,"&gt;"&amp;'月度總覽'!$B$7)-SUMIFS($G$5:G239,$A$5:A239,"&gt;"&amp;'月度總覽'!$B$7))</f>
        <v/>
      </c>
    </row>
    <row r="240" ht="15.75" customHeight="1">
      <c r="A240" s="39" t="str">
        <f>IF(236&lt;='月度總覽'!$F$5,'月度總覽'!$B$5+236-1,"")</f>
        <v/>
      </c>
      <c r="B240" t="str">
        <f t="shared" si="1"/>
        <v/>
      </c>
      <c r="C240" t="str">
        <f>IF(A240="","",IF(A240&lt;'月度總覽'!$F$6,"已過",IF(A240='月度總覽'!$F$6,"基準日","未來")))</f>
        <v/>
      </c>
      <c r="D240" s="40" t="str">
        <f>IF(A240="","",IF(A240='月度總覽'!$B$8,'月度總覽'!$B$9,0))</f>
        <v/>
      </c>
      <c r="E240" s="40" t="str">
        <f>IF(A240="","",SUMIFS('收支明細'!$E:$E,'收支明細'!$B:$B,"收入",'收支明細'!$A:$A,A240))</f>
        <v/>
      </c>
      <c r="F240" s="40" t="str">
        <f>IF(A240="","",SUMIFS('固定支出'!$C:$C,'固定支出'!$G:$G,"是",'固定支出'!$D:$D,A240))</f>
        <v/>
      </c>
      <c r="G240" s="40" t="str">
        <f>IF(A240="","",SUMIFS('收支明細'!$E:$E,'收支明細'!$B:$B,"支出",'收支明細'!$A:$A,A240))</f>
        <v/>
      </c>
      <c r="H240" s="40" t="str">
        <f>IF(OR(A240="",A240&lt;'月度總覽'!$F$6),0,'月度總覽'!$F$13)</f>
        <v>0.00</v>
      </c>
      <c r="I240" s="40" t="str">
        <f t="shared" si="2"/>
        <v/>
      </c>
      <c r="J240" s="40" t="str">
        <f>IF(OR(A240="",A240&lt;'月度總覽'!$F$6),"",'月度總覽'!$F$12-SUM($H$5:H240)+IF(AND('月度總覽'!$B$10="到帳日自動計入",'月度總覽'!$B$8&gt;'月度總覽'!$B$7,'月度總覽'!$B$8&lt;=A240),'月度總覽'!$B$9,0)+SUMIFS($E$5:E240,$A$5:A240,"&gt;"&amp;'月度總覽'!$B$7)-SUMIFS($G$5:G240,$A$5:A240,"&gt;"&amp;'月度總覽'!$B$7))</f>
        <v/>
      </c>
    </row>
    <row r="241" ht="15.75" customHeight="1">
      <c r="A241" s="39" t="str">
        <f>IF(237&lt;='月度總覽'!$F$5,'月度總覽'!$B$5+237-1,"")</f>
        <v/>
      </c>
      <c r="B241" t="str">
        <f t="shared" si="1"/>
        <v/>
      </c>
      <c r="C241" t="str">
        <f>IF(A241="","",IF(A241&lt;'月度總覽'!$F$6,"已過",IF(A241='月度總覽'!$F$6,"基準日","未來")))</f>
        <v/>
      </c>
      <c r="D241" s="40" t="str">
        <f>IF(A241="","",IF(A241='月度總覽'!$B$8,'月度總覽'!$B$9,0))</f>
        <v/>
      </c>
      <c r="E241" s="40" t="str">
        <f>IF(A241="","",SUMIFS('收支明細'!$E:$E,'收支明細'!$B:$B,"收入",'收支明細'!$A:$A,A241))</f>
        <v/>
      </c>
      <c r="F241" s="40" t="str">
        <f>IF(A241="","",SUMIFS('固定支出'!$C:$C,'固定支出'!$G:$G,"是",'固定支出'!$D:$D,A241))</f>
        <v/>
      </c>
      <c r="G241" s="40" t="str">
        <f>IF(A241="","",SUMIFS('收支明細'!$E:$E,'收支明細'!$B:$B,"支出",'收支明細'!$A:$A,A241))</f>
        <v/>
      </c>
      <c r="H241" s="40" t="str">
        <f>IF(OR(A241="",A241&lt;'月度總覽'!$F$6),0,'月度總覽'!$F$13)</f>
        <v>0.00</v>
      </c>
      <c r="I241" s="40" t="str">
        <f t="shared" si="2"/>
        <v/>
      </c>
      <c r="J241" s="40" t="str">
        <f>IF(OR(A241="",A241&lt;'月度總覽'!$F$6),"",'月度總覽'!$F$12-SUM($H$5:H241)+IF(AND('月度總覽'!$B$10="到帳日自動計入",'月度總覽'!$B$8&gt;'月度總覽'!$B$7,'月度總覽'!$B$8&lt;=A241),'月度總覽'!$B$9,0)+SUMIFS($E$5:E241,$A$5:A241,"&gt;"&amp;'月度總覽'!$B$7)-SUMIFS($G$5:G241,$A$5:A241,"&gt;"&amp;'月度總覽'!$B$7))</f>
        <v/>
      </c>
    </row>
    <row r="242" ht="15.75" customHeight="1">
      <c r="A242" s="39" t="str">
        <f>IF(238&lt;='月度總覽'!$F$5,'月度總覽'!$B$5+238-1,"")</f>
        <v/>
      </c>
      <c r="B242" t="str">
        <f t="shared" si="1"/>
        <v/>
      </c>
      <c r="C242" t="str">
        <f>IF(A242="","",IF(A242&lt;'月度總覽'!$F$6,"已過",IF(A242='月度總覽'!$F$6,"基準日","未來")))</f>
        <v/>
      </c>
      <c r="D242" s="40" t="str">
        <f>IF(A242="","",IF(A242='月度總覽'!$B$8,'月度總覽'!$B$9,0))</f>
        <v/>
      </c>
      <c r="E242" s="40" t="str">
        <f>IF(A242="","",SUMIFS('收支明細'!$E:$E,'收支明細'!$B:$B,"收入",'收支明細'!$A:$A,A242))</f>
        <v/>
      </c>
      <c r="F242" s="40" t="str">
        <f>IF(A242="","",SUMIFS('固定支出'!$C:$C,'固定支出'!$G:$G,"是",'固定支出'!$D:$D,A242))</f>
        <v/>
      </c>
      <c r="G242" s="40" t="str">
        <f>IF(A242="","",SUMIFS('收支明細'!$E:$E,'收支明細'!$B:$B,"支出",'收支明細'!$A:$A,A242))</f>
        <v/>
      </c>
      <c r="H242" s="40" t="str">
        <f>IF(OR(A242="",A242&lt;'月度總覽'!$F$6),0,'月度總覽'!$F$13)</f>
        <v>0.00</v>
      </c>
      <c r="I242" s="40" t="str">
        <f t="shared" si="2"/>
        <v/>
      </c>
      <c r="J242" s="40" t="str">
        <f>IF(OR(A242="",A242&lt;'月度總覽'!$F$6),"",'月度總覽'!$F$12-SUM($H$5:H242)+IF(AND('月度總覽'!$B$10="到帳日自動計入",'月度總覽'!$B$8&gt;'月度總覽'!$B$7,'月度總覽'!$B$8&lt;=A242),'月度總覽'!$B$9,0)+SUMIFS($E$5:E242,$A$5:A242,"&gt;"&amp;'月度總覽'!$B$7)-SUMIFS($G$5:G242,$A$5:A242,"&gt;"&amp;'月度總覽'!$B$7))</f>
        <v/>
      </c>
    </row>
    <row r="243" ht="15.75" customHeight="1">
      <c r="A243" s="39" t="str">
        <f>IF(239&lt;='月度總覽'!$F$5,'月度總覽'!$B$5+239-1,"")</f>
        <v/>
      </c>
      <c r="B243" t="str">
        <f t="shared" si="1"/>
        <v/>
      </c>
      <c r="C243" t="str">
        <f>IF(A243="","",IF(A243&lt;'月度總覽'!$F$6,"已過",IF(A243='月度總覽'!$F$6,"基準日","未來")))</f>
        <v/>
      </c>
      <c r="D243" s="40" t="str">
        <f>IF(A243="","",IF(A243='月度總覽'!$B$8,'月度總覽'!$B$9,0))</f>
        <v/>
      </c>
      <c r="E243" s="40" t="str">
        <f>IF(A243="","",SUMIFS('收支明細'!$E:$E,'收支明細'!$B:$B,"收入",'收支明細'!$A:$A,A243))</f>
        <v/>
      </c>
      <c r="F243" s="40" t="str">
        <f>IF(A243="","",SUMIFS('固定支出'!$C:$C,'固定支出'!$G:$G,"是",'固定支出'!$D:$D,A243))</f>
        <v/>
      </c>
      <c r="G243" s="40" t="str">
        <f>IF(A243="","",SUMIFS('收支明細'!$E:$E,'收支明細'!$B:$B,"支出",'收支明細'!$A:$A,A243))</f>
        <v/>
      </c>
      <c r="H243" s="40" t="str">
        <f>IF(OR(A243="",A243&lt;'月度總覽'!$F$6),0,'月度總覽'!$F$13)</f>
        <v>0.00</v>
      </c>
      <c r="I243" s="40" t="str">
        <f t="shared" si="2"/>
        <v/>
      </c>
      <c r="J243" s="40" t="str">
        <f>IF(OR(A243="",A243&lt;'月度總覽'!$F$6),"",'月度總覽'!$F$12-SUM($H$5:H243)+IF(AND('月度總覽'!$B$10="到帳日自動計入",'月度總覽'!$B$8&gt;'月度總覽'!$B$7,'月度總覽'!$B$8&lt;=A243),'月度總覽'!$B$9,0)+SUMIFS($E$5:E243,$A$5:A243,"&gt;"&amp;'月度總覽'!$B$7)-SUMIFS($G$5:G243,$A$5:A243,"&gt;"&amp;'月度總覽'!$B$7))</f>
        <v/>
      </c>
    </row>
    <row r="244" ht="15.75" customHeight="1">
      <c r="A244" s="39" t="str">
        <f>IF(240&lt;='月度總覽'!$F$5,'月度總覽'!$B$5+240-1,"")</f>
        <v/>
      </c>
      <c r="B244" t="str">
        <f t="shared" si="1"/>
        <v/>
      </c>
      <c r="C244" t="str">
        <f>IF(A244="","",IF(A244&lt;'月度總覽'!$F$6,"已過",IF(A244='月度總覽'!$F$6,"基準日","未來")))</f>
        <v/>
      </c>
      <c r="D244" s="40" t="str">
        <f>IF(A244="","",IF(A244='月度總覽'!$B$8,'月度總覽'!$B$9,0))</f>
        <v/>
      </c>
      <c r="E244" s="40" t="str">
        <f>IF(A244="","",SUMIFS('收支明細'!$E:$E,'收支明細'!$B:$B,"收入",'收支明細'!$A:$A,A244))</f>
        <v/>
      </c>
      <c r="F244" s="40" t="str">
        <f>IF(A244="","",SUMIFS('固定支出'!$C:$C,'固定支出'!$G:$G,"是",'固定支出'!$D:$D,A244))</f>
        <v/>
      </c>
      <c r="G244" s="40" t="str">
        <f>IF(A244="","",SUMIFS('收支明細'!$E:$E,'收支明細'!$B:$B,"支出",'收支明細'!$A:$A,A244))</f>
        <v/>
      </c>
      <c r="H244" s="40" t="str">
        <f>IF(OR(A244="",A244&lt;'月度總覽'!$F$6),0,'月度總覽'!$F$13)</f>
        <v>0.00</v>
      </c>
      <c r="I244" s="40" t="str">
        <f t="shared" si="2"/>
        <v/>
      </c>
      <c r="J244" s="40" t="str">
        <f>IF(OR(A244="",A244&lt;'月度總覽'!$F$6),"",'月度總覽'!$F$12-SUM($H$5:H244)+IF(AND('月度總覽'!$B$10="到帳日自動計入",'月度總覽'!$B$8&gt;'月度總覽'!$B$7,'月度總覽'!$B$8&lt;=A244),'月度總覽'!$B$9,0)+SUMIFS($E$5:E244,$A$5:A244,"&gt;"&amp;'月度總覽'!$B$7)-SUMIFS($G$5:G244,$A$5:A244,"&gt;"&amp;'月度總覽'!$B$7))</f>
        <v/>
      </c>
    </row>
    <row r="245" ht="15.75" customHeight="1">
      <c r="A245" s="39" t="str">
        <f>IF(241&lt;='月度總覽'!$F$5,'月度總覽'!$B$5+241-1,"")</f>
        <v/>
      </c>
      <c r="B245" t="str">
        <f t="shared" si="1"/>
        <v/>
      </c>
      <c r="C245" t="str">
        <f>IF(A245="","",IF(A245&lt;'月度總覽'!$F$6,"已過",IF(A245='月度總覽'!$F$6,"基準日","未來")))</f>
        <v/>
      </c>
      <c r="D245" s="40" t="str">
        <f>IF(A245="","",IF(A245='月度總覽'!$B$8,'月度總覽'!$B$9,0))</f>
        <v/>
      </c>
      <c r="E245" s="40" t="str">
        <f>IF(A245="","",SUMIFS('收支明細'!$E:$E,'收支明細'!$B:$B,"收入",'收支明細'!$A:$A,A245))</f>
        <v/>
      </c>
      <c r="F245" s="40" t="str">
        <f>IF(A245="","",SUMIFS('固定支出'!$C:$C,'固定支出'!$G:$G,"是",'固定支出'!$D:$D,A245))</f>
        <v/>
      </c>
      <c r="G245" s="40" t="str">
        <f>IF(A245="","",SUMIFS('收支明細'!$E:$E,'收支明細'!$B:$B,"支出",'收支明細'!$A:$A,A245))</f>
        <v/>
      </c>
      <c r="H245" s="40" t="str">
        <f>IF(OR(A245="",A245&lt;'月度總覽'!$F$6),0,'月度總覽'!$F$13)</f>
        <v>0.00</v>
      </c>
      <c r="I245" s="40" t="str">
        <f t="shared" si="2"/>
        <v/>
      </c>
      <c r="J245" s="40" t="str">
        <f>IF(OR(A245="",A245&lt;'月度總覽'!$F$6),"",'月度總覽'!$F$12-SUM($H$5:H245)+IF(AND('月度總覽'!$B$10="到帳日自動計入",'月度總覽'!$B$8&gt;'月度總覽'!$B$7,'月度總覽'!$B$8&lt;=A245),'月度總覽'!$B$9,0)+SUMIFS($E$5:E245,$A$5:A245,"&gt;"&amp;'月度總覽'!$B$7)-SUMIFS($G$5:G245,$A$5:A245,"&gt;"&amp;'月度總覽'!$B$7))</f>
        <v/>
      </c>
    </row>
    <row r="246" ht="15.75" customHeight="1">
      <c r="A246" s="39" t="str">
        <f>IF(242&lt;='月度總覽'!$F$5,'月度總覽'!$B$5+242-1,"")</f>
        <v/>
      </c>
      <c r="B246" t="str">
        <f t="shared" si="1"/>
        <v/>
      </c>
      <c r="C246" t="str">
        <f>IF(A246="","",IF(A246&lt;'月度總覽'!$F$6,"已過",IF(A246='月度總覽'!$F$6,"基準日","未來")))</f>
        <v/>
      </c>
      <c r="D246" s="40" t="str">
        <f>IF(A246="","",IF(A246='月度總覽'!$B$8,'月度總覽'!$B$9,0))</f>
        <v/>
      </c>
      <c r="E246" s="40" t="str">
        <f>IF(A246="","",SUMIFS('收支明細'!$E:$E,'收支明細'!$B:$B,"收入",'收支明細'!$A:$A,A246))</f>
        <v/>
      </c>
      <c r="F246" s="40" t="str">
        <f>IF(A246="","",SUMIFS('固定支出'!$C:$C,'固定支出'!$G:$G,"是",'固定支出'!$D:$D,A246))</f>
        <v/>
      </c>
      <c r="G246" s="40" t="str">
        <f>IF(A246="","",SUMIFS('收支明細'!$E:$E,'收支明細'!$B:$B,"支出",'收支明細'!$A:$A,A246))</f>
        <v/>
      </c>
      <c r="H246" s="40" t="str">
        <f>IF(OR(A246="",A246&lt;'月度總覽'!$F$6),0,'月度總覽'!$F$13)</f>
        <v>0.00</v>
      </c>
      <c r="I246" s="40" t="str">
        <f t="shared" si="2"/>
        <v/>
      </c>
      <c r="J246" s="40" t="str">
        <f>IF(OR(A246="",A246&lt;'月度總覽'!$F$6),"",'月度總覽'!$F$12-SUM($H$5:H246)+IF(AND('月度總覽'!$B$10="到帳日自動計入",'月度總覽'!$B$8&gt;'月度總覽'!$B$7,'月度總覽'!$B$8&lt;=A246),'月度總覽'!$B$9,0)+SUMIFS($E$5:E246,$A$5:A246,"&gt;"&amp;'月度總覽'!$B$7)-SUMIFS($G$5:G246,$A$5:A246,"&gt;"&amp;'月度總覽'!$B$7))</f>
        <v/>
      </c>
    </row>
    <row r="247" ht="15.75" customHeight="1">
      <c r="A247" s="39" t="str">
        <f>IF(243&lt;='月度總覽'!$F$5,'月度總覽'!$B$5+243-1,"")</f>
        <v/>
      </c>
      <c r="B247" t="str">
        <f t="shared" si="1"/>
        <v/>
      </c>
      <c r="C247" t="str">
        <f>IF(A247="","",IF(A247&lt;'月度總覽'!$F$6,"已過",IF(A247='月度總覽'!$F$6,"基準日","未來")))</f>
        <v/>
      </c>
      <c r="D247" s="40" t="str">
        <f>IF(A247="","",IF(A247='月度總覽'!$B$8,'月度總覽'!$B$9,0))</f>
        <v/>
      </c>
      <c r="E247" s="40" t="str">
        <f>IF(A247="","",SUMIFS('收支明細'!$E:$E,'收支明細'!$B:$B,"收入",'收支明細'!$A:$A,A247))</f>
        <v/>
      </c>
      <c r="F247" s="40" t="str">
        <f>IF(A247="","",SUMIFS('固定支出'!$C:$C,'固定支出'!$G:$G,"是",'固定支出'!$D:$D,A247))</f>
        <v/>
      </c>
      <c r="G247" s="40" t="str">
        <f>IF(A247="","",SUMIFS('收支明細'!$E:$E,'收支明細'!$B:$B,"支出",'收支明細'!$A:$A,A247))</f>
        <v/>
      </c>
      <c r="H247" s="40" t="str">
        <f>IF(OR(A247="",A247&lt;'月度總覽'!$F$6),0,'月度總覽'!$F$13)</f>
        <v>0.00</v>
      </c>
      <c r="I247" s="40" t="str">
        <f t="shared" si="2"/>
        <v/>
      </c>
      <c r="J247" s="40" t="str">
        <f>IF(OR(A247="",A247&lt;'月度總覽'!$F$6),"",'月度總覽'!$F$12-SUM($H$5:H247)+IF(AND('月度總覽'!$B$10="到帳日自動計入",'月度總覽'!$B$8&gt;'月度總覽'!$B$7,'月度總覽'!$B$8&lt;=A247),'月度總覽'!$B$9,0)+SUMIFS($E$5:E247,$A$5:A247,"&gt;"&amp;'月度總覽'!$B$7)-SUMIFS($G$5:G247,$A$5:A247,"&gt;"&amp;'月度總覽'!$B$7))</f>
        <v/>
      </c>
    </row>
    <row r="248" ht="15.75" customHeight="1">
      <c r="A248" s="39" t="str">
        <f>IF(244&lt;='月度總覽'!$F$5,'月度總覽'!$B$5+244-1,"")</f>
        <v/>
      </c>
      <c r="B248" t="str">
        <f t="shared" si="1"/>
        <v/>
      </c>
      <c r="C248" t="str">
        <f>IF(A248="","",IF(A248&lt;'月度總覽'!$F$6,"已過",IF(A248='月度總覽'!$F$6,"基準日","未來")))</f>
        <v/>
      </c>
      <c r="D248" s="40" t="str">
        <f>IF(A248="","",IF(A248='月度總覽'!$B$8,'月度總覽'!$B$9,0))</f>
        <v/>
      </c>
      <c r="E248" s="40" t="str">
        <f>IF(A248="","",SUMIFS('收支明細'!$E:$E,'收支明細'!$B:$B,"收入",'收支明細'!$A:$A,A248))</f>
        <v/>
      </c>
      <c r="F248" s="40" t="str">
        <f>IF(A248="","",SUMIFS('固定支出'!$C:$C,'固定支出'!$G:$G,"是",'固定支出'!$D:$D,A248))</f>
        <v/>
      </c>
      <c r="G248" s="40" t="str">
        <f>IF(A248="","",SUMIFS('收支明細'!$E:$E,'收支明細'!$B:$B,"支出",'收支明細'!$A:$A,A248))</f>
        <v/>
      </c>
      <c r="H248" s="40" t="str">
        <f>IF(OR(A248="",A248&lt;'月度總覽'!$F$6),0,'月度總覽'!$F$13)</f>
        <v>0.00</v>
      </c>
      <c r="I248" s="40" t="str">
        <f t="shared" si="2"/>
        <v/>
      </c>
      <c r="J248" s="40" t="str">
        <f>IF(OR(A248="",A248&lt;'月度總覽'!$F$6),"",'月度總覽'!$F$12-SUM($H$5:H248)+IF(AND('月度總覽'!$B$10="到帳日自動計入",'月度總覽'!$B$8&gt;'月度總覽'!$B$7,'月度總覽'!$B$8&lt;=A248),'月度總覽'!$B$9,0)+SUMIFS($E$5:E248,$A$5:A248,"&gt;"&amp;'月度總覽'!$B$7)-SUMIFS($G$5:G248,$A$5:A248,"&gt;"&amp;'月度總覽'!$B$7))</f>
        <v/>
      </c>
    </row>
    <row r="249" ht="15.75" customHeight="1">
      <c r="A249" s="39" t="str">
        <f>IF(245&lt;='月度總覽'!$F$5,'月度總覽'!$B$5+245-1,"")</f>
        <v/>
      </c>
      <c r="B249" t="str">
        <f t="shared" si="1"/>
        <v/>
      </c>
      <c r="C249" t="str">
        <f>IF(A249="","",IF(A249&lt;'月度總覽'!$F$6,"已過",IF(A249='月度總覽'!$F$6,"基準日","未來")))</f>
        <v/>
      </c>
      <c r="D249" s="40" t="str">
        <f>IF(A249="","",IF(A249='月度總覽'!$B$8,'月度總覽'!$B$9,0))</f>
        <v/>
      </c>
      <c r="E249" s="40" t="str">
        <f>IF(A249="","",SUMIFS('收支明細'!$E:$E,'收支明細'!$B:$B,"收入",'收支明細'!$A:$A,A249))</f>
        <v/>
      </c>
      <c r="F249" s="40" t="str">
        <f>IF(A249="","",SUMIFS('固定支出'!$C:$C,'固定支出'!$G:$G,"是",'固定支出'!$D:$D,A249))</f>
        <v/>
      </c>
      <c r="G249" s="40" t="str">
        <f>IF(A249="","",SUMIFS('收支明細'!$E:$E,'收支明細'!$B:$B,"支出",'收支明細'!$A:$A,A249))</f>
        <v/>
      </c>
      <c r="H249" s="40" t="str">
        <f>IF(OR(A249="",A249&lt;'月度總覽'!$F$6),0,'月度總覽'!$F$13)</f>
        <v>0.00</v>
      </c>
      <c r="I249" s="40" t="str">
        <f t="shared" si="2"/>
        <v/>
      </c>
      <c r="J249" s="40" t="str">
        <f>IF(OR(A249="",A249&lt;'月度總覽'!$F$6),"",'月度總覽'!$F$12-SUM($H$5:H249)+IF(AND('月度總覽'!$B$10="到帳日自動計入",'月度總覽'!$B$8&gt;'月度總覽'!$B$7,'月度總覽'!$B$8&lt;=A249),'月度總覽'!$B$9,0)+SUMIFS($E$5:E249,$A$5:A249,"&gt;"&amp;'月度總覽'!$B$7)-SUMIFS($G$5:G249,$A$5:A249,"&gt;"&amp;'月度總覽'!$B$7))</f>
        <v/>
      </c>
    </row>
    <row r="250" ht="15.75" customHeight="1">
      <c r="A250" s="39" t="str">
        <f>IF(246&lt;='月度總覽'!$F$5,'月度總覽'!$B$5+246-1,"")</f>
        <v/>
      </c>
      <c r="B250" t="str">
        <f t="shared" si="1"/>
        <v/>
      </c>
      <c r="C250" t="str">
        <f>IF(A250="","",IF(A250&lt;'月度總覽'!$F$6,"已過",IF(A250='月度總覽'!$F$6,"基準日","未來")))</f>
        <v/>
      </c>
      <c r="D250" s="40" t="str">
        <f>IF(A250="","",IF(A250='月度總覽'!$B$8,'月度總覽'!$B$9,0))</f>
        <v/>
      </c>
      <c r="E250" s="40" t="str">
        <f>IF(A250="","",SUMIFS('收支明細'!$E:$E,'收支明細'!$B:$B,"收入",'收支明細'!$A:$A,A250))</f>
        <v/>
      </c>
      <c r="F250" s="40" t="str">
        <f>IF(A250="","",SUMIFS('固定支出'!$C:$C,'固定支出'!$G:$G,"是",'固定支出'!$D:$D,A250))</f>
        <v/>
      </c>
      <c r="G250" s="40" t="str">
        <f>IF(A250="","",SUMIFS('收支明細'!$E:$E,'收支明細'!$B:$B,"支出",'收支明細'!$A:$A,A250))</f>
        <v/>
      </c>
      <c r="H250" s="40" t="str">
        <f>IF(OR(A250="",A250&lt;'月度總覽'!$F$6),0,'月度總覽'!$F$13)</f>
        <v>0.00</v>
      </c>
      <c r="I250" s="40" t="str">
        <f t="shared" si="2"/>
        <v/>
      </c>
      <c r="J250" s="40" t="str">
        <f>IF(OR(A250="",A250&lt;'月度總覽'!$F$6),"",'月度總覽'!$F$12-SUM($H$5:H250)+IF(AND('月度總覽'!$B$10="到帳日自動計入",'月度總覽'!$B$8&gt;'月度總覽'!$B$7,'月度總覽'!$B$8&lt;=A250),'月度總覽'!$B$9,0)+SUMIFS($E$5:E250,$A$5:A250,"&gt;"&amp;'月度總覽'!$B$7)-SUMIFS($G$5:G250,$A$5:A250,"&gt;"&amp;'月度總覽'!$B$7))</f>
        <v/>
      </c>
    </row>
    <row r="251" ht="15.75" customHeight="1">
      <c r="A251" s="39" t="str">
        <f>IF(247&lt;='月度總覽'!$F$5,'月度總覽'!$B$5+247-1,"")</f>
        <v/>
      </c>
      <c r="B251" t="str">
        <f t="shared" si="1"/>
        <v/>
      </c>
      <c r="C251" t="str">
        <f>IF(A251="","",IF(A251&lt;'月度總覽'!$F$6,"已過",IF(A251='月度總覽'!$F$6,"基準日","未來")))</f>
        <v/>
      </c>
      <c r="D251" s="40" t="str">
        <f>IF(A251="","",IF(A251='月度總覽'!$B$8,'月度總覽'!$B$9,0))</f>
        <v/>
      </c>
      <c r="E251" s="40" t="str">
        <f>IF(A251="","",SUMIFS('收支明細'!$E:$E,'收支明細'!$B:$B,"收入",'收支明細'!$A:$A,A251))</f>
        <v/>
      </c>
      <c r="F251" s="40" t="str">
        <f>IF(A251="","",SUMIFS('固定支出'!$C:$C,'固定支出'!$G:$G,"是",'固定支出'!$D:$D,A251))</f>
        <v/>
      </c>
      <c r="G251" s="40" t="str">
        <f>IF(A251="","",SUMIFS('收支明細'!$E:$E,'收支明細'!$B:$B,"支出",'收支明細'!$A:$A,A251))</f>
        <v/>
      </c>
      <c r="H251" s="40" t="str">
        <f>IF(OR(A251="",A251&lt;'月度總覽'!$F$6),0,'月度總覽'!$F$13)</f>
        <v>0.00</v>
      </c>
      <c r="I251" s="40" t="str">
        <f t="shared" si="2"/>
        <v/>
      </c>
      <c r="J251" s="40" t="str">
        <f>IF(OR(A251="",A251&lt;'月度總覽'!$F$6),"",'月度總覽'!$F$12-SUM($H$5:H251)+IF(AND('月度總覽'!$B$10="到帳日自動計入",'月度總覽'!$B$8&gt;'月度總覽'!$B$7,'月度總覽'!$B$8&lt;=A251),'月度總覽'!$B$9,0)+SUMIFS($E$5:E251,$A$5:A251,"&gt;"&amp;'月度總覽'!$B$7)-SUMIFS($G$5:G251,$A$5:A251,"&gt;"&amp;'月度總覽'!$B$7))</f>
        <v/>
      </c>
    </row>
    <row r="252" ht="15.75" customHeight="1">
      <c r="A252" s="39" t="str">
        <f>IF(248&lt;='月度總覽'!$F$5,'月度總覽'!$B$5+248-1,"")</f>
        <v/>
      </c>
      <c r="B252" t="str">
        <f t="shared" si="1"/>
        <v/>
      </c>
      <c r="C252" t="str">
        <f>IF(A252="","",IF(A252&lt;'月度總覽'!$F$6,"已過",IF(A252='月度總覽'!$F$6,"基準日","未來")))</f>
        <v/>
      </c>
      <c r="D252" s="40" t="str">
        <f>IF(A252="","",IF(A252='月度總覽'!$B$8,'月度總覽'!$B$9,0))</f>
        <v/>
      </c>
      <c r="E252" s="40" t="str">
        <f>IF(A252="","",SUMIFS('收支明細'!$E:$E,'收支明細'!$B:$B,"收入",'收支明細'!$A:$A,A252))</f>
        <v/>
      </c>
      <c r="F252" s="40" t="str">
        <f>IF(A252="","",SUMIFS('固定支出'!$C:$C,'固定支出'!$G:$G,"是",'固定支出'!$D:$D,A252))</f>
        <v/>
      </c>
      <c r="G252" s="40" t="str">
        <f>IF(A252="","",SUMIFS('收支明細'!$E:$E,'收支明細'!$B:$B,"支出",'收支明細'!$A:$A,A252))</f>
        <v/>
      </c>
      <c r="H252" s="40" t="str">
        <f>IF(OR(A252="",A252&lt;'月度總覽'!$F$6),0,'月度總覽'!$F$13)</f>
        <v>0.00</v>
      </c>
      <c r="I252" s="40" t="str">
        <f t="shared" si="2"/>
        <v/>
      </c>
      <c r="J252" s="40" t="str">
        <f>IF(OR(A252="",A252&lt;'月度總覽'!$F$6),"",'月度總覽'!$F$12-SUM($H$5:H252)+IF(AND('月度總覽'!$B$10="到帳日自動計入",'月度總覽'!$B$8&gt;'月度總覽'!$B$7,'月度總覽'!$B$8&lt;=A252),'月度總覽'!$B$9,0)+SUMIFS($E$5:E252,$A$5:A252,"&gt;"&amp;'月度總覽'!$B$7)-SUMIFS($G$5:G252,$A$5:A252,"&gt;"&amp;'月度總覽'!$B$7))</f>
        <v/>
      </c>
    </row>
    <row r="253" ht="15.75" customHeight="1">
      <c r="A253" s="39" t="str">
        <f>IF(249&lt;='月度總覽'!$F$5,'月度總覽'!$B$5+249-1,"")</f>
        <v/>
      </c>
      <c r="B253" t="str">
        <f t="shared" si="1"/>
        <v/>
      </c>
      <c r="C253" t="str">
        <f>IF(A253="","",IF(A253&lt;'月度總覽'!$F$6,"已過",IF(A253='月度總覽'!$F$6,"基準日","未來")))</f>
        <v/>
      </c>
      <c r="D253" s="40" t="str">
        <f>IF(A253="","",IF(A253='月度總覽'!$B$8,'月度總覽'!$B$9,0))</f>
        <v/>
      </c>
      <c r="E253" s="40" t="str">
        <f>IF(A253="","",SUMIFS('收支明細'!$E:$E,'收支明細'!$B:$B,"收入",'收支明細'!$A:$A,A253))</f>
        <v/>
      </c>
      <c r="F253" s="40" t="str">
        <f>IF(A253="","",SUMIFS('固定支出'!$C:$C,'固定支出'!$G:$G,"是",'固定支出'!$D:$D,A253))</f>
        <v/>
      </c>
      <c r="G253" s="40" t="str">
        <f>IF(A253="","",SUMIFS('收支明細'!$E:$E,'收支明細'!$B:$B,"支出",'收支明細'!$A:$A,A253))</f>
        <v/>
      </c>
      <c r="H253" s="40" t="str">
        <f>IF(OR(A253="",A253&lt;'月度總覽'!$F$6),0,'月度總覽'!$F$13)</f>
        <v>0.00</v>
      </c>
      <c r="I253" s="40" t="str">
        <f t="shared" si="2"/>
        <v/>
      </c>
      <c r="J253" s="40" t="str">
        <f>IF(OR(A253="",A253&lt;'月度總覽'!$F$6),"",'月度總覽'!$F$12-SUM($H$5:H253)+IF(AND('月度總覽'!$B$10="到帳日自動計入",'月度總覽'!$B$8&gt;'月度總覽'!$B$7,'月度總覽'!$B$8&lt;=A253),'月度總覽'!$B$9,0)+SUMIFS($E$5:E253,$A$5:A253,"&gt;"&amp;'月度總覽'!$B$7)-SUMIFS($G$5:G253,$A$5:A253,"&gt;"&amp;'月度總覽'!$B$7))</f>
        <v/>
      </c>
    </row>
    <row r="254" ht="15.75" customHeight="1">
      <c r="A254" s="39" t="str">
        <f>IF(250&lt;='月度總覽'!$F$5,'月度總覽'!$B$5+250-1,"")</f>
        <v/>
      </c>
      <c r="B254" t="str">
        <f t="shared" si="1"/>
        <v/>
      </c>
      <c r="C254" t="str">
        <f>IF(A254="","",IF(A254&lt;'月度總覽'!$F$6,"已過",IF(A254='月度總覽'!$F$6,"基準日","未來")))</f>
        <v/>
      </c>
      <c r="D254" s="40" t="str">
        <f>IF(A254="","",IF(A254='月度總覽'!$B$8,'月度總覽'!$B$9,0))</f>
        <v/>
      </c>
      <c r="E254" s="40" t="str">
        <f>IF(A254="","",SUMIFS('收支明細'!$E:$E,'收支明細'!$B:$B,"收入",'收支明細'!$A:$A,A254))</f>
        <v/>
      </c>
      <c r="F254" s="40" t="str">
        <f>IF(A254="","",SUMIFS('固定支出'!$C:$C,'固定支出'!$G:$G,"是",'固定支出'!$D:$D,A254))</f>
        <v/>
      </c>
      <c r="G254" s="40" t="str">
        <f>IF(A254="","",SUMIFS('收支明細'!$E:$E,'收支明細'!$B:$B,"支出",'收支明細'!$A:$A,A254))</f>
        <v/>
      </c>
      <c r="H254" s="40" t="str">
        <f>IF(OR(A254="",A254&lt;'月度總覽'!$F$6),0,'月度總覽'!$F$13)</f>
        <v>0.00</v>
      </c>
      <c r="I254" s="40" t="str">
        <f t="shared" si="2"/>
        <v/>
      </c>
      <c r="J254" s="40" t="str">
        <f>IF(OR(A254="",A254&lt;'月度總覽'!$F$6),"",'月度總覽'!$F$12-SUM($H$5:H254)+IF(AND('月度總覽'!$B$10="到帳日自動計入",'月度總覽'!$B$8&gt;'月度總覽'!$B$7,'月度總覽'!$B$8&lt;=A254),'月度總覽'!$B$9,0)+SUMIFS($E$5:E254,$A$5:A254,"&gt;"&amp;'月度總覽'!$B$7)-SUMIFS($G$5:G254,$A$5:A254,"&gt;"&amp;'月度總覽'!$B$7))</f>
        <v/>
      </c>
    </row>
    <row r="255" ht="15.75" customHeight="1">
      <c r="A255" s="39" t="str">
        <f>IF(251&lt;='月度總覽'!$F$5,'月度總覽'!$B$5+251-1,"")</f>
        <v/>
      </c>
      <c r="B255" t="str">
        <f t="shared" si="1"/>
        <v/>
      </c>
      <c r="C255" t="str">
        <f>IF(A255="","",IF(A255&lt;'月度總覽'!$F$6,"已過",IF(A255='月度總覽'!$F$6,"基準日","未來")))</f>
        <v/>
      </c>
      <c r="D255" s="40" t="str">
        <f>IF(A255="","",IF(A255='月度總覽'!$B$8,'月度總覽'!$B$9,0))</f>
        <v/>
      </c>
      <c r="E255" s="40" t="str">
        <f>IF(A255="","",SUMIFS('收支明細'!$E:$E,'收支明細'!$B:$B,"收入",'收支明細'!$A:$A,A255))</f>
        <v/>
      </c>
      <c r="F255" s="40" t="str">
        <f>IF(A255="","",SUMIFS('固定支出'!$C:$C,'固定支出'!$G:$G,"是",'固定支出'!$D:$D,A255))</f>
        <v/>
      </c>
      <c r="G255" s="40" t="str">
        <f>IF(A255="","",SUMIFS('收支明細'!$E:$E,'收支明細'!$B:$B,"支出",'收支明細'!$A:$A,A255))</f>
        <v/>
      </c>
      <c r="H255" s="40" t="str">
        <f>IF(OR(A255="",A255&lt;'月度總覽'!$F$6),0,'月度總覽'!$F$13)</f>
        <v>0.00</v>
      </c>
      <c r="I255" s="40" t="str">
        <f t="shared" si="2"/>
        <v/>
      </c>
      <c r="J255" s="40" t="str">
        <f>IF(OR(A255="",A255&lt;'月度總覽'!$F$6),"",'月度總覽'!$F$12-SUM($H$5:H255)+IF(AND('月度總覽'!$B$10="到帳日自動計入",'月度總覽'!$B$8&gt;'月度總覽'!$B$7,'月度總覽'!$B$8&lt;=A255),'月度總覽'!$B$9,0)+SUMIFS($E$5:E255,$A$5:A255,"&gt;"&amp;'月度總覽'!$B$7)-SUMIFS($G$5:G255,$A$5:A255,"&gt;"&amp;'月度總覽'!$B$7))</f>
        <v/>
      </c>
    </row>
    <row r="256" ht="15.75" customHeight="1">
      <c r="A256" s="39" t="str">
        <f>IF(252&lt;='月度總覽'!$F$5,'月度總覽'!$B$5+252-1,"")</f>
        <v/>
      </c>
      <c r="B256" t="str">
        <f t="shared" si="1"/>
        <v/>
      </c>
      <c r="C256" t="str">
        <f>IF(A256="","",IF(A256&lt;'月度總覽'!$F$6,"已過",IF(A256='月度總覽'!$F$6,"基準日","未來")))</f>
        <v/>
      </c>
      <c r="D256" s="40" t="str">
        <f>IF(A256="","",IF(A256='月度總覽'!$B$8,'月度總覽'!$B$9,0))</f>
        <v/>
      </c>
      <c r="E256" s="40" t="str">
        <f>IF(A256="","",SUMIFS('收支明細'!$E:$E,'收支明細'!$B:$B,"收入",'收支明細'!$A:$A,A256))</f>
        <v/>
      </c>
      <c r="F256" s="40" t="str">
        <f>IF(A256="","",SUMIFS('固定支出'!$C:$C,'固定支出'!$G:$G,"是",'固定支出'!$D:$D,A256))</f>
        <v/>
      </c>
      <c r="G256" s="40" t="str">
        <f>IF(A256="","",SUMIFS('收支明細'!$E:$E,'收支明細'!$B:$B,"支出",'收支明細'!$A:$A,A256))</f>
        <v/>
      </c>
      <c r="H256" s="40" t="str">
        <f>IF(OR(A256="",A256&lt;'月度總覽'!$F$6),0,'月度總覽'!$F$13)</f>
        <v>0.00</v>
      </c>
      <c r="I256" s="40" t="str">
        <f t="shared" si="2"/>
        <v/>
      </c>
      <c r="J256" s="40" t="str">
        <f>IF(OR(A256="",A256&lt;'月度總覽'!$F$6),"",'月度總覽'!$F$12-SUM($H$5:H256)+IF(AND('月度總覽'!$B$10="到帳日自動計入",'月度總覽'!$B$8&gt;'月度總覽'!$B$7,'月度總覽'!$B$8&lt;=A256),'月度總覽'!$B$9,0)+SUMIFS($E$5:E256,$A$5:A256,"&gt;"&amp;'月度總覽'!$B$7)-SUMIFS($G$5:G256,$A$5:A256,"&gt;"&amp;'月度總覽'!$B$7))</f>
        <v/>
      </c>
    </row>
    <row r="257" ht="15.75" customHeight="1">
      <c r="A257" s="39" t="str">
        <f>IF(253&lt;='月度總覽'!$F$5,'月度總覽'!$B$5+253-1,"")</f>
        <v/>
      </c>
      <c r="B257" t="str">
        <f t="shared" si="1"/>
        <v/>
      </c>
      <c r="C257" t="str">
        <f>IF(A257="","",IF(A257&lt;'月度總覽'!$F$6,"已過",IF(A257='月度總覽'!$F$6,"基準日","未來")))</f>
        <v/>
      </c>
      <c r="D257" s="40" t="str">
        <f>IF(A257="","",IF(A257='月度總覽'!$B$8,'月度總覽'!$B$9,0))</f>
        <v/>
      </c>
      <c r="E257" s="40" t="str">
        <f>IF(A257="","",SUMIFS('收支明細'!$E:$E,'收支明細'!$B:$B,"收入",'收支明細'!$A:$A,A257))</f>
        <v/>
      </c>
      <c r="F257" s="40" t="str">
        <f>IF(A257="","",SUMIFS('固定支出'!$C:$C,'固定支出'!$G:$G,"是",'固定支出'!$D:$D,A257))</f>
        <v/>
      </c>
      <c r="G257" s="40" t="str">
        <f>IF(A257="","",SUMIFS('收支明細'!$E:$E,'收支明細'!$B:$B,"支出",'收支明細'!$A:$A,A257))</f>
        <v/>
      </c>
      <c r="H257" s="40" t="str">
        <f>IF(OR(A257="",A257&lt;'月度總覽'!$F$6),0,'月度總覽'!$F$13)</f>
        <v>0.00</v>
      </c>
      <c r="I257" s="40" t="str">
        <f t="shared" si="2"/>
        <v/>
      </c>
      <c r="J257" s="40" t="str">
        <f>IF(OR(A257="",A257&lt;'月度總覽'!$F$6),"",'月度總覽'!$F$12-SUM($H$5:H257)+IF(AND('月度總覽'!$B$10="到帳日自動計入",'月度總覽'!$B$8&gt;'月度總覽'!$B$7,'月度總覽'!$B$8&lt;=A257),'月度總覽'!$B$9,0)+SUMIFS($E$5:E257,$A$5:A257,"&gt;"&amp;'月度總覽'!$B$7)-SUMIFS($G$5:G257,$A$5:A257,"&gt;"&amp;'月度總覽'!$B$7))</f>
        <v/>
      </c>
    </row>
    <row r="258" ht="15.75" customHeight="1">
      <c r="A258" s="39" t="str">
        <f>IF(254&lt;='月度總覽'!$F$5,'月度總覽'!$B$5+254-1,"")</f>
        <v/>
      </c>
      <c r="B258" t="str">
        <f t="shared" si="1"/>
        <v/>
      </c>
      <c r="C258" t="str">
        <f>IF(A258="","",IF(A258&lt;'月度總覽'!$F$6,"已過",IF(A258='月度總覽'!$F$6,"基準日","未來")))</f>
        <v/>
      </c>
      <c r="D258" s="40" t="str">
        <f>IF(A258="","",IF(A258='月度總覽'!$B$8,'月度總覽'!$B$9,0))</f>
        <v/>
      </c>
      <c r="E258" s="40" t="str">
        <f>IF(A258="","",SUMIFS('收支明細'!$E:$E,'收支明細'!$B:$B,"收入",'收支明細'!$A:$A,A258))</f>
        <v/>
      </c>
      <c r="F258" s="40" t="str">
        <f>IF(A258="","",SUMIFS('固定支出'!$C:$C,'固定支出'!$G:$G,"是",'固定支出'!$D:$D,A258))</f>
        <v/>
      </c>
      <c r="G258" s="40" t="str">
        <f>IF(A258="","",SUMIFS('收支明細'!$E:$E,'收支明細'!$B:$B,"支出",'收支明細'!$A:$A,A258))</f>
        <v/>
      </c>
      <c r="H258" s="40" t="str">
        <f>IF(OR(A258="",A258&lt;'月度總覽'!$F$6),0,'月度總覽'!$F$13)</f>
        <v>0.00</v>
      </c>
      <c r="I258" s="40" t="str">
        <f t="shared" si="2"/>
        <v/>
      </c>
      <c r="J258" s="40" t="str">
        <f>IF(OR(A258="",A258&lt;'月度總覽'!$F$6),"",'月度總覽'!$F$12-SUM($H$5:H258)+IF(AND('月度總覽'!$B$10="到帳日自動計入",'月度總覽'!$B$8&gt;'月度總覽'!$B$7,'月度總覽'!$B$8&lt;=A258),'月度總覽'!$B$9,0)+SUMIFS($E$5:E258,$A$5:A258,"&gt;"&amp;'月度總覽'!$B$7)-SUMIFS($G$5:G258,$A$5:A258,"&gt;"&amp;'月度總覽'!$B$7))</f>
        <v/>
      </c>
    </row>
    <row r="259" ht="15.75" customHeight="1">
      <c r="A259" s="39" t="str">
        <f>IF(255&lt;='月度總覽'!$F$5,'月度總覽'!$B$5+255-1,"")</f>
        <v/>
      </c>
      <c r="B259" t="str">
        <f t="shared" si="1"/>
        <v/>
      </c>
      <c r="C259" t="str">
        <f>IF(A259="","",IF(A259&lt;'月度總覽'!$F$6,"已過",IF(A259='月度總覽'!$F$6,"基準日","未來")))</f>
        <v/>
      </c>
      <c r="D259" s="40" t="str">
        <f>IF(A259="","",IF(A259='月度總覽'!$B$8,'月度總覽'!$B$9,0))</f>
        <v/>
      </c>
      <c r="E259" s="40" t="str">
        <f>IF(A259="","",SUMIFS('收支明細'!$E:$E,'收支明細'!$B:$B,"收入",'收支明細'!$A:$A,A259))</f>
        <v/>
      </c>
      <c r="F259" s="40" t="str">
        <f>IF(A259="","",SUMIFS('固定支出'!$C:$C,'固定支出'!$G:$G,"是",'固定支出'!$D:$D,A259))</f>
        <v/>
      </c>
      <c r="G259" s="40" t="str">
        <f>IF(A259="","",SUMIFS('收支明細'!$E:$E,'收支明細'!$B:$B,"支出",'收支明細'!$A:$A,A259))</f>
        <v/>
      </c>
      <c r="H259" s="40" t="str">
        <f>IF(OR(A259="",A259&lt;'月度總覽'!$F$6),0,'月度總覽'!$F$13)</f>
        <v>0.00</v>
      </c>
      <c r="I259" s="40" t="str">
        <f t="shared" si="2"/>
        <v/>
      </c>
      <c r="J259" s="40" t="str">
        <f>IF(OR(A259="",A259&lt;'月度總覽'!$F$6),"",'月度總覽'!$F$12-SUM($H$5:H259)+IF(AND('月度總覽'!$B$10="到帳日自動計入",'月度總覽'!$B$8&gt;'月度總覽'!$B$7,'月度總覽'!$B$8&lt;=A259),'月度總覽'!$B$9,0)+SUMIFS($E$5:E259,$A$5:A259,"&gt;"&amp;'月度總覽'!$B$7)-SUMIFS($G$5:G259,$A$5:A259,"&gt;"&amp;'月度總覽'!$B$7))</f>
        <v/>
      </c>
    </row>
    <row r="260" ht="15.75" customHeight="1">
      <c r="A260" s="39" t="str">
        <f>IF(256&lt;='月度總覽'!$F$5,'月度總覽'!$B$5+256-1,"")</f>
        <v/>
      </c>
      <c r="B260" t="str">
        <f t="shared" si="1"/>
        <v/>
      </c>
      <c r="C260" t="str">
        <f>IF(A260="","",IF(A260&lt;'月度總覽'!$F$6,"已過",IF(A260='月度總覽'!$F$6,"基準日","未來")))</f>
        <v/>
      </c>
      <c r="D260" s="40" t="str">
        <f>IF(A260="","",IF(A260='月度總覽'!$B$8,'月度總覽'!$B$9,0))</f>
        <v/>
      </c>
      <c r="E260" s="40" t="str">
        <f>IF(A260="","",SUMIFS('收支明細'!$E:$E,'收支明細'!$B:$B,"收入",'收支明細'!$A:$A,A260))</f>
        <v/>
      </c>
      <c r="F260" s="40" t="str">
        <f>IF(A260="","",SUMIFS('固定支出'!$C:$C,'固定支出'!$G:$G,"是",'固定支出'!$D:$D,A260))</f>
        <v/>
      </c>
      <c r="G260" s="40" t="str">
        <f>IF(A260="","",SUMIFS('收支明細'!$E:$E,'收支明細'!$B:$B,"支出",'收支明細'!$A:$A,A260))</f>
        <v/>
      </c>
      <c r="H260" s="40" t="str">
        <f>IF(OR(A260="",A260&lt;'月度總覽'!$F$6),0,'月度總覽'!$F$13)</f>
        <v>0.00</v>
      </c>
      <c r="I260" s="40" t="str">
        <f t="shared" si="2"/>
        <v/>
      </c>
      <c r="J260" s="40" t="str">
        <f>IF(OR(A260="",A260&lt;'月度總覽'!$F$6),"",'月度總覽'!$F$12-SUM($H$5:H260)+IF(AND('月度總覽'!$B$10="到帳日自動計入",'月度總覽'!$B$8&gt;'月度總覽'!$B$7,'月度總覽'!$B$8&lt;=A260),'月度總覽'!$B$9,0)+SUMIFS($E$5:E260,$A$5:A260,"&gt;"&amp;'月度總覽'!$B$7)-SUMIFS($G$5:G260,$A$5:A260,"&gt;"&amp;'月度總覽'!$B$7))</f>
        <v/>
      </c>
    </row>
    <row r="261" ht="15.75" customHeight="1">
      <c r="A261" s="39" t="str">
        <f>IF(257&lt;='月度總覽'!$F$5,'月度總覽'!$B$5+257-1,"")</f>
        <v/>
      </c>
      <c r="B261" t="str">
        <f t="shared" si="1"/>
        <v/>
      </c>
      <c r="C261" t="str">
        <f>IF(A261="","",IF(A261&lt;'月度總覽'!$F$6,"已過",IF(A261='月度總覽'!$F$6,"基準日","未來")))</f>
        <v/>
      </c>
      <c r="D261" s="40" t="str">
        <f>IF(A261="","",IF(A261='月度總覽'!$B$8,'月度總覽'!$B$9,0))</f>
        <v/>
      </c>
      <c r="E261" s="40" t="str">
        <f>IF(A261="","",SUMIFS('收支明細'!$E:$E,'收支明細'!$B:$B,"收入",'收支明細'!$A:$A,A261))</f>
        <v/>
      </c>
      <c r="F261" s="40" t="str">
        <f>IF(A261="","",SUMIFS('固定支出'!$C:$C,'固定支出'!$G:$G,"是",'固定支出'!$D:$D,A261))</f>
        <v/>
      </c>
      <c r="G261" s="40" t="str">
        <f>IF(A261="","",SUMIFS('收支明細'!$E:$E,'收支明細'!$B:$B,"支出",'收支明細'!$A:$A,A261))</f>
        <v/>
      </c>
      <c r="H261" s="40" t="str">
        <f>IF(OR(A261="",A261&lt;'月度總覽'!$F$6),0,'月度總覽'!$F$13)</f>
        <v>0.00</v>
      </c>
      <c r="I261" s="40" t="str">
        <f t="shared" si="2"/>
        <v/>
      </c>
      <c r="J261" s="40" t="str">
        <f>IF(OR(A261="",A261&lt;'月度總覽'!$F$6),"",'月度總覽'!$F$12-SUM($H$5:H261)+IF(AND('月度總覽'!$B$10="到帳日自動計入",'月度總覽'!$B$8&gt;'月度總覽'!$B$7,'月度總覽'!$B$8&lt;=A261),'月度總覽'!$B$9,0)+SUMIFS($E$5:E261,$A$5:A261,"&gt;"&amp;'月度總覽'!$B$7)-SUMIFS($G$5:G261,$A$5:A261,"&gt;"&amp;'月度總覽'!$B$7))</f>
        <v/>
      </c>
    </row>
    <row r="262" ht="15.75" customHeight="1">
      <c r="A262" s="39" t="str">
        <f>IF(258&lt;='月度總覽'!$F$5,'月度總覽'!$B$5+258-1,"")</f>
        <v/>
      </c>
      <c r="B262" t="str">
        <f t="shared" si="1"/>
        <v/>
      </c>
      <c r="C262" t="str">
        <f>IF(A262="","",IF(A262&lt;'月度總覽'!$F$6,"已過",IF(A262='月度總覽'!$F$6,"基準日","未來")))</f>
        <v/>
      </c>
      <c r="D262" s="40" t="str">
        <f>IF(A262="","",IF(A262='月度總覽'!$B$8,'月度總覽'!$B$9,0))</f>
        <v/>
      </c>
      <c r="E262" s="40" t="str">
        <f>IF(A262="","",SUMIFS('收支明細'!$E:$E,'收支明細'!$B:$B,"收入",'收支明細'!$A:$A,A262))</f>
        <v/>
      </c>
      <c r="F262" s="40" t="str">
        <f>IF(A262="","",SUMIFS('固定支出'!$C:$C,'固定支出'!$G:$G,"是",'固定支出'!$D:$D,A262))</f>
        <v/>
      </c>
      <c r="G262" s="40" t="str">
        <f>IF(A262="","",SUMIFS('收支明細'!$E:$E,'收支明細'!$B:$B,"支出",'收支明細'!$A:$A,A262))</f>
        <v/>
      </c>
      <c r="H262" s="40" t="str">
        <f>IF(OR(A262="",A262&lt;'月度總覽'!$F$6),0,'月度總覽'!$F$13)</f>
        <v>0.00</v>
      </c>
      <c r="I262" s="40" t="str">
        <f t="shared" si="2"/>
        <v/>
      </c>
      <c r="J262" s="40" t="str">
        <f>IF(OR(A262="",A262&lt;'月度總覽'!$F$6),"",'月度總覽'!$F$12-SUM($H$5:H262)+IF(AND('月度總覽'!$B$10="到帳日自動計入",'月度總覽'!$B$8&gt;'月度總覽'!$B$7,'月度總覽'!$B$8&lt;=A262),'月度總覽'!$B$9,0)+SUMIFS($E$5:E262,$A$5:A262,"&gt;"&amp;'月度總覽'!$B$7)-SUMIFS($G$5:G262,$A$5:A262,"&gt;"&amp;'月度總覽'!$B$7))</f>
        <v/>
      </c>
    </row>
    <row r="263" ht="15.75" customHeight="1">
      <c r="A263" s="39" t="str">
        <f>IF(259&lt;='月度總覽'!$F$5,'月度總覽'!$B$5+259-1,"")</f>
        <v/>
      </c>
      <c r="B263" t="str">
        <f t="shared" si="1"/>
        <v/>
      </c>
      <c r="C263" t="str">
        <f>IF(A263="","",IF(A263&lt;'月度總覽'!$F$6,"已過",IF(A263='月度總覽'!$F$6,"基準日","未來")))</f>
        <v/>
      </c>
      <c r="D263" s="40" t="str">
        <f>IF(A263="","",IF(A263='月度總覽'!$B$8,'月度總覽'!$B$9,0))</f>
        <v/>
      </c>
      <c r="E263" s="40" t="str">
        <f>IF(A263="","",SUMIFS('收支明細'!$E:$E,'收支明細'!$B:$B,"收入",'收支明細'!$A:$A,A263))</f>
        <v/>
      </c>
      <c r="F263" s="40" t="str">
        <f>IF(A263="","",SUMIFS('固定支出'!$C:$C,'固定支出'!$G:$G,"是",'固定支出'!$D:$D,A263))</f>
        <v/>
      </c>
      <c r="G263" s="40" t="str">
        <f>IF(A263="","",SUMIFS('收支明細'!$E:$E,'收支明細'!$B:$B,"支出",'收支明細'!$A:$A,A263))</f>
        <v/>
      </c>
      <c r="H263" s="40" t="str">
        <f>IF(OR(A263="",A263&lt;'月度總覽'!$F$6),0,'月度總覽'!$F$13)</f>
        <v>0.00</v>
      </c>
      <c r="I263" s="40" t="str">
        <f t="shared" si="2"/>
        <v/>
      </c>
      <c r="J263" s="40" t="str">
        <f>IF(OR(A263="",A263&lt;'月度總覽'!$F$6),"",'月度總覽'!$F$12-SUM($H$5:H263)+IF(AND('月度總覽'!$B$10="到帳日自動計入",'月度總覽'!$B$8&gt;'月度總覽'!$B$7,'月度總覽'!$B$8&lt;=A263),'月度總覽'!$B$9,0)+SUMIFS($E$5:E263,$A$5:A263,"&gt;"&amp;'月度總覽'!$B$7)-SUMIFS($G$5:G263,$A$5:A263,"&gt;"&amp;'月度總覽'!$B$7))</f>
        <v/>
      </c>
    </row>
    <row r="264" ht="15.75" customHeight="1">
      <c r="A264" s="39" t="str">
        <f>IF(260&lt;='月度總覽'!$F$5,'月度總覽'!$B$5+260-1,"")</f>
        <v/>
      </c>
      <c r="B264" t="str">
        <f t="shared" si="1"/>
        <v/>
      </c>
      <c r="C264" t="str">
        <f>IF(A264="","",IF(A264&lt;'月度總覽'!$F$6,"已過",IF(A264='月度總覽'!$F$6,"基準日","未來")))</f>
        <v/>
      </c>
      <c r="D264" s="40" t="str">
        <f>IF(A264="","",IF(A264='月度總覽'!$B$8,'月度總覽'!$B$9,0))</f>
        <v/>
      </c>
      <c r="E264" s="40" t="str">
        <f>IF(A264="","",SUMIFS('收支明細'!$E:$E,'收支明細'!$B:$B,"收入",'收支明細'!$A:$A,A264))</f>
        <v/>
      </c>
      <c r="F264" s="40" t="str">
        <f>IF(A264="","",SUMIFS('固定支出'!$C:$C,'固定支出'!$G:$G,"是",'固定支出'!$D:$D,A264))</f>
        <v/>
      </c>
      <c r="G264" s="40" t="str">
        <f>IF(A264="","",SUMIFS('收支明細'!$E:$E,'收支明細'!$B:$B,"支出",'收支明細'!$A:$A,A264))</f>
        <v/>
      </c>
      <c r="H264" s="40" t="str">
        <f>IF(OR(A264="",A264&lt;'月度總覽'!$F$6),0,'月度總覽'!$F$13)</f>
        <v>0.00</v>
      </c>
      <c r="I264" s="40" t="str">
        <f t="shared" si="2"/>
        <v/>
      </c>
      <c r="J264" s="40" t="str">
        <f>IF(OR(A264="",A264&lt;'月度總覽'!$F$6),"",'月度總覽'!$F$12-SUM($H$5:H264)+IF(AND('月度總覽'!$B$10="到帳日自動計入",'月度總覽'!$B$8&gt;'月度總覽'!$B$7,'月度總覽'!$B$8&lt;=A264),'月度總覽'!$B$9,0)+SUMIFS($E$5:E264,$A$5:A264,"&gt;"&amp;'月度總覽'!$B$7)-SUMIFS($G$5:G264,$A$5:A264,"&gt;"&amp;'月度總覽'!$B$7))</f>
        <v/>
      </c>
    </row>
    <row r="265" ht="15.75" customHeight="1">
      <c r="A265" s="39" t="str">
        <f>IF(261&lt;='月度總覽'!$F$5,'月度總覽'!$B$5+261-1,"")</f>
        <v/>
      </c>
      <c r="B265" t="str">
        <f t="shared" si="1"/>
        <v/>
      </c>
      <c r="C265" t="str">
        <f>IF(A265="","",IF(A265&lt;'月度總覽'!$F$6,"已過",IF(A265='月度總覽'!$F$6,"基準日","未來")))</f>
        <v/>
      </c>
      <c r="D265" s="40" t="str">
        <f>IF(A265="","",IF(A265='月度總覽'!$B$8,'月度總覽'!$B$9,0))</f>
        <v/>
      </c>
      <c r="E265" s="40" t="str">
        <f>IF(A265="","",SUMIFS('收支明細'!$E:$E,'收支明細'!$B:$B,"收入",'收支明細'!$A:$A,A265))</f>
        <v/>
      </c>
      <c r="F265" s="40" t="str">
        <f>IF(A265="","",SUMIFS('固定支出'!$C:$C,'固定支出'!$G:$G,"是",'固定支出'!$D:$D,A265))</f>
        <v/>
      </c>
      <c r="G265" s="40" t="str">
        <f>IF(A265="","",SUMIFS('收支明細'!$E:$E,'收支明細'!$B:$B,"支出",'收支明細'!$A:$A,A265))</f>
        <v/>
      </c>
      <c r="H265" s="40" t="str">
        <f>IF(OR(A265="",A265&lt;'月度總覽'!$F$6),0,'月度總覽'!$F$13)</f>
        <v>0.00</v>
      </c>
      <c r="I265" s="40" t="str">
        <f t="shared" si="2"/>
        <v/>
      </c>
      <c r="J265" s="40" t="str">
        <f>IF(OR(A265="",A265&lt;'月度總覽'!$F$6),"",'月度總覽'!$F$12-SUM($H$5:H265)+IF(AND('月度總覽'!$B$10="到帳日自動計入",'月度總覽'!$B$8&gt;'月度總覽'!$B$7,'月度總覽'!$B$8&lt;=A265),'月度總覽'!$B$9,0)+SUMIFS($E$5:E265,$A$5:A265,"&gt;"&amp;'月度總覽'!$B$7)-SUMIFS($G$5:G265,$A$5:A265,"&gt;"&amp;'月度總覽'!$B$7))</f>
        <v/>
      </c>
    </row>
    <row r="266" ht="15.75" customHeight="1">
      <c r="A266" s="39" t="str">
        <f>IF(262&lt;='月度總覽'!$F$5,'月度總覽'!$B$5+262-1,"")</f>
        <v/>
      </c>
      <c r="B266" t="str">
        <f t="shared" si="1"/>
        <v/>
      </c>
      <c r="C266" t="str">
        <f>IF(A266="","",IF(A266&lt;'月度總覽'!$F$6,"已過",IF(A266='月度總覽'!$F$6,"基準日","未來")))</f>
        <v/>
      </c>
      <c r="D266" s="40" t="str">
        <f>IF(A266="","",IF(A266='月度總覽'!$B$8,'月度總覽'!$B$9,0))</f>
        <v/>
      </c>
      <c r="E266" s="40" t="str">
        <f>IF(A266="","",SUMIFS('收支明細'!$E:$E,'收支明細'!$B:$B,"收入",'收支明細'!$A:$A,A266))</f>
        <v/>
      </c>
      <c r="F266" s="40" t="str">
        <f>IF(A266="","",SUMIFS('固定支出'!$C:$C,'固定支出'!$G:$G,"是",'固定支出'!$D:$D,A266))</f>
        <v/>
      </c>
      <c r="G266" s="40" t="str">
        <f>IF(A266="","",SUMIFS('收支明細'!$E:$E,'收支明細'!$B:$B,"支出",'收支明細'!$A:$A,A266))</f>
        <v/>
      </c>
      <c r="H266" s="40" t="str">
        <f>IF(OR(A266="",A266&lt;'月度總覽'!$F$6),0,'月度總覽'!$F$13)</f>
        <v>0.00</v>
      </c>
      <c r="I266" s="40" t="str">
        <f t="shared" si="2"/>
        <v/>
      </c>
      <c r="J266" s="40" t="str">
        <f>IF(OR(A266="",A266&lt;'月度總覽'!$F$6),"",'月度總覽'!$F$12-SUM($H$5:H266)+IF(AND('月度總覽'!$B$10="到帳日自動計入",'月度總覽'!$B$8&gt;'月度總覽'!$B$7,'月度總覽'!$B$8&lt;=A266),'月度總覽'!$B$9,0)+SUMIFS($E$5:E266,$A$5:A266,"&gt;"&amp;'月度總覽'!$B$7)-SUMIFS($G$5:G266,$A$5:A266,"&gt;"&amp;'月度總覽'!$B$7))</f>
        <v/>
      </c>
    </row>
    <row r="267" ht="15.75" customHeight="1">
      <c r="A267" s="39" t="str">
        <f>IF(263&lt;='月度總覽'!$F$5,'月度總覽'!$B$5+263-1,"")</f>
        <v/>
      </c>
      <c r="B267" t="str">
        <f t="shared" si="1"/>
        <v/>
      </c>
      <c r="C267" t="str">
        <f>IF(A267="","",IF(A267&lt;'月度總覽'!$F$6,"已過",IF(A267='月度總覽'!$F$6,"基準日","未來")))</f>
        <v/>
      </c>
      <c r="D267" s="40" t="str">
        <f>IF(A267="","",IF(A267='月度總覽'!$B$8,'月度總覽'!$B$9,0))</f>
        <v/>
      </c>
      <c r="E267" s="40" t="str">
        <f>IF(A267="","",SUMIFS('收支明細'!$E:$E,'收支明細'!$B:$B,"收入",'收支明細'!$A:$A,A267))</f>
        <v/>
      </c>
      <c r="F267" s="40" t="str">
        <f>IF(A267="","",SUMIFS('固定支出'!$C:$C,'固定支出'!$G:$G,"是",'固定支出'!$D:$D,A267))</f>
        <v/>
      </c>
      <c r="G267" s="40" t="str">
        <f>IF(A267="","",SUMIFS('收支明細'!$E:$E,'收支明細'!$B:$B,"支出",'收支明細'!$A:$A,A267))</f>
        <v/>
      </c>
      <c r="H267" s="40" t="str">
        <f>IF(OR(A267="",A267&lt;'月度總覽'!$F$6),0,'月度總覽'!$F$13)</f>
        <v>0.00</v>
      </c>
      <c r="I267" s="40" t="str">
        <f t="shared" si="2"/>
        <v/>
      </c>
      <c r="J267" s="40" t="str">
        <f>IF(OR(A267="",A267&lt;'月度總覽'!$F$6),"",'月度總覽'!$F$12-SUM($H$5:H267)+IF(AND('月度總覽'!$B$10="到帳日自動計入",'月度總覽'!$B$8&gt;'月度總覽'!$B$7,'月度總覽'!$B$8&lt;=A267),'月度總覽'!$B$9,0)+SUMIFS($E$5:E267,$A$5:A267,"&gt;"&amp;'月度總覽'!$B$7)-SUMIFS($G$5:G267,$A$5:A267,"&gt;"&amp;'月度總覽'!$B$7))</f>
        <v/>
      </c>
    </row>
    <row r="268" ht="15.75" customHeight="1">
      <c r="A268" s="39" t="str">
        <f>IF(264&lt;='月度總覽'!$F$5,'月度總覽'!$B$5+264-1,"")</f>
        <v/>
      </c>
      <c r="B268" t="str">
        <f t="shared" si="1"/>
        <v/>
      </c>
      <c r="C268" t="str">
        <f>IF(A268="","",IF(A268&lt;'月度總覽'!$F$6,"已過",IF(A268='月度總覽'!$F$6,"基準日","未來")))</f>
        <v/>
      </c>
      <c r="D268" s="40" t="str">
        <f>IF(A268="","",IF(A268='月度總覽'!$B$8,'月度總覽'!$B$9,0))</f>
        <v/>
      </c>
      <c r="E268" s="40" t="str">
        <f>IF(A268="","",SUMIFS('收支明細'!$E:$E,'收支明細'!$B:$B,"收入",'收支明細'!$A:$A,A268))</f>
        <v/>
      </c>
      <c r="F268" s="40" t="str">
        <f>IF(A268="","",SUMIFS('固定支出'!$C:$C,'固定支出'!$G:$G,"是",'固定支出'!$D:$D,A268))</f>
        <v/>
      </c>
      <c r="G268" s="40" t="str">
        <f>IF(A268="","",SUMIFS('收支明細'!$E:$E,'收支明細'!$B:$B,"支出",'收支明細'!$A:$A,A268))</f>
        <v/>
      </c>
      <c r="H268" s="40" t="str">
        <f>IF(OR(A268="",A268&lt;'月度總覽'!$F$6),0,'月度總覽'!$F$13)</f>
        <v>0.00</v>
      </c>
      <c r="I268" s="40" t="str">
        <f t="shared" si="2"/>
        <v/>
      </c>
      <c r="J268" s="40" t="str">
        <f>IF(OR(A268="",A268&lt;'月度總覽'!$F$6),"",'月度總覽'!$F$12-SUM($H$5:H268)+IF(AND('月度總覽'!$B$10="到帳日自動計入",'月度總覽'!$B$8&gt;'月度總覽'!$B$7,'月度總覽'!$B$8&lt;=A268),'月度總覽'!$B$9,0)+SUMIFS($E$5:E268,$A$5:A268,"&gt;"&amp;'月度總覽'!$B$7)-SUMIFS($G$5:G268,$A$5:A268,"&gt;"&amp;'月度總覽'!$B$7))</f>
        <v/>
      </c>
    </row>
    <row r="269" ht="15.75" customHeight="1">
      <c r="A269" s="39" t="str">
        <f>IF(265&lt;='月度總覽'!$F$5,'月度總覽'!$B$5+265-1,"")</f>
        <v/>
      </c>
      <c r="B269" t="str">
        <f t="shared" si="1"/>
        <v/>
      </c>
      <c r="C269" t="str">
        <f>IF(A269="","",IF(A269&lt;'月度總覽'!$F$6,"已過",IF(A269='月度總覽'!$F$6,"基準日","未來")))</f>
        <v/>
      </c>
      <c r="D269" s="40" t="str">
        <f>IF(A269="","",IF(A269='月度總覽'!$B$8,'月度總覽'!$B$9,0))</f>
        <v/>
      </c>
      <c r="E269" s="40" t="str">
        <f>IF(A269="","",SUMIFS('收支明細'!$E:$E,'收支明細'!$B:$B,"收入",'收支明細'!$A:$A,A269))</f>
        <v/>
      </c>
      <c r="F269" s="40" t="str">
        <f>IF(A269="","",SUMIFS('固定支出'!$C:$C,'固定支出'!$G:$G,"是",'固定支出'!$D:$D,A269))</f>
        <v/>
      </c>
      <c r="G269" s="40" t="str">
        <f>IF(A269="","",SUMIFS('收支明細'!$E:$E,'收支明細'!$B:$B,"支出",'收支明細'!$A:$A,A269))</f>
        <v/>
      </c>
      <c r="H269" s="40" t="str">
        <f>IF(OR(A269="",A269&lt;'月度總覽'!$F$6),0,'月度總覽'!$F$13)</f>
        <v>0.00</v>
      </c>
      <c r="I269" s="40" t="str">
        <f t="shared" si="2"/>
        <v/>
      </c>
      <c r="J269" s="40" t="str">
        <f>IF(OR(A269="",A269&lt;'月度總覽'!$F$6),"",'月度總覽'!$F$12-SUM($H$5:H269)+IF(AND('月度總覽'!$B$10="到帳日自動計入",'月度總覽'!$B$8&gt;'月度總覽'!$B$7,'月度總覽'!$B$8&lt;=A269),'月度總覽'!$B$9,0)+SUMIFS($E$5:E269,$A$5:A269,"&gt;"&amp;'月度總覽'!$B$7)-SUMIFS($G$5:G269,$A$5:A269,"&gt;"&amp;'月度總覽'!$B$7))</f>
        <v/>
      </c>
    </row>
    <row r="270" ht="15.75" customHeight="1">
      <c r="A270" s="39" t="str">
        <f>IF(266&lt;='月度總覽'!$F$5,'月度總覽'!$B$5+266-1,"")</f>
        <v/>
      </c>
      <c r="B270" t="str">
        <f t="shared" si="1"/>
        <v/>
      </c>
      <c r="C270" t="str">
        <f>IF(A270="","",IF(A270&lt;'月度總覽'!$F$6,"已過",IF(A270='月度總覽'!$F$6,"基準日","未來")))</f>
        <v/>
      </c>
      <c r="D270" s="40" t="str">
        <f>IF(A270="","",IF(A270='月度總覽'!$B$8,'月度總覽'!$B$9,0))</f>
        <v/>
      </c>
      <c r="E270" s="40" t="str">
        <f>IF(A270="","",SUMIFS('收支明細'!$E:$E,'收支明細'!$B:$B,"收入",'收支明細'!$A:$A,A270))</f>
        <v/>
      </c>
      <c r="F270" s="40" t="str">
        <f>IF(A270="","",SUMIFS('固定支出'!$C:$C,'固定支出'!$G:$G,"是",'固定支出'!$D:$D,A270))</f>
        <v/>
      </c>
      <c r="G270" s="40" t="str">
        <f>IF(A270="","",SUMIFS('收支明細'!$E:$E,'收支明細'!$B:$B,"支出",'收支明細'!$A:$A,A270))</f>
        <v/>
      </c>
      <c r="H270" s="40" t="str">
        <f>IF(OR(A270="",A270&lt;'月度總覽'!$F$6),0,'月度總覽'!$F$13)</f>
        <v>0.00</v>
      </c>
      <c r="I270" s="40" t="str">
        <f t="shared" si="2"/>
        <v/>
      </c>
      <c r="J270" s="40" t="str">
        <f>IF(OR(A270="",A270&lt;'月度總覽'!$F$6),"",'月度總覽'!$F$12-SUM($H$5:H270)+IF(AND('月度總覽'!$B$10="到帳日自動計入",'月度總覽'!$B$8&gt;'月度總覽'!$B$7,'月度總覽'!$B$8&lt;=A270),'月度總覽'!$B$9,0)+SUMIFS($E$5:E270,$A$5:A270,"&gt;"&amp;'月度總覽'!$B$7)-SUMIFS($G$5:G270,$A$5:A270,"&gt;"&amp;'月度總覽'!$B$7))</f>
        <v/>
      </c>
    </row>
    <row r="271" ht="15.75" customHeight="1">
      <c r="A271" s="39" t="str">
        <f>IF(267&lt;='月度總覽'!$F$5,'月度總覽'!$B$5+267-1,"")</f>
        <v/>
      </c>
      <c r="B271" t="str">
        <f t="shared" si="1"/>
        <v/>
      </c>
      <c r="C271" t="str">
        <f>IF(A271="","",IF(A271&lt;'月度總覽'!$F$6,"已過",IF(A271='月度總覽'!$F$6,"基準日","未來")))</f>
        <v/>
      </c>
      <c r="D271" s="40" t="str">
        <f>IF(A271="","",IF(A271='月度總覽'!$B$8,'月度總覽'!$B$9,0))</f>
        <v/>
      </c>
      <c r="E271" s="40" t="str">
        <f>IF(A271="","",SUMIFS('收支明細'!$E:$E,'收支明細'!$B:$B,"收入",'收支明細'!$A:$A,A271))</f>
        <v/>
      </c>
      <c r="F271" s="40" t="str">
        <f>IF(A271="","",SUMIFS('固定支出'!$C:$C,'固定支出'!$G:$G,"是",'固定支出'!$D:$D,A271))</f>
        <v/>
      </c>
      <c r="G271" s="40" t="str">
        <f>IF(A271="","",SUMIFS('收支明細'!$E:$E,'收支明細'!$B:$B,"支出",'收支明細'!$A:$A,A271))</f>
        <v/>
      </c>
      <c r="H271" s="40" t="str">
        <f>IF(OR(A271="",A271&lt;'月度總覽'!$F$6),0,'月度總覽'!$F$13)</f>
        <v>0.00</v>
      </c>
      <c r="I271" s="40" t="str">
        <f t="shared" si="2"/>
        <v/>
      </c>
      <c r="J271" s="40" t="str">
        <f>IF(OR(A271="",A271&lt;'月度總覽'!$F$6),"",'月度總覽'!$F$12-SUM($H$5:H271)+IF(AND('月度總覽'!$B$10="到帳日自動計入",'月度總覽'!$B$8&gt;'月度總覽'!$B$7,'月度總覽'!$B$8&lt;=A271),'月度總覽'!$B$9,0)+SUMIFS($E$5:E271,$A$5:A271,"&gt;"&amp;'月度總覽'!$B$7)-SUMIFS($G$5:G271,$A$5:A271,"&gt;"&amp;'月度總覽'!$B$7))</f>
        <v/>
      </c>
    </row>
    <row r="272" ht="15.75" customHeight="1">
      <c r="A272" s="39" t="str">
        <f>IF(268&lt;='月度總覽'!$F$5,'月度總覽'!$B$5+268-1,"")</f>
        <v/>
      </c>
      <c r="B272" t="str">
        <f t="shared" si="1"/>
        <v/>
      </c>
      <c r="C272" t="str">
        <f>IF(A272="","",IF(A272&lt;'月度總覽'!$F$6,"已過",IF(A272='月度總覽'!$F$6,"基準日","未來")))</f>
        <v/>
      </c>
      <c r="D272" s="40" t="str">
        <f>IF(A272="","",IF(A272='月度總覽'!$B$8,'月度總覽'!$B$9,0))</f>
        <v/>
      </c>
      <c r="E272" s="40" t="str">
        <f>IF(A272="","",SUMIFS('收支明細'!$E:$E,'收支明細'!$B:$B,"收入",'收支明細'!$A:$A,A272))</f>
        <v/>
      </c>
      <c r="F272" s="40" t="str">
        <f>IF(A272="","",SUMIFS('固定支出'!$C:$C,'固定支出'!$G:$G,"是",'固定支出'!$D:$D,A272))</f>
        <v/>
      </c>
      <c r="G272" s="40" t="str">
        <f>IF(A272="","",SUMIFS('收支明細'!$E:$E,'收支明細'!$B:$B,"支出",'收支明細'!$A:$A,A272))</f>
        <v/>
      </c>
      <c r="H272" s="40" t="str">
        <f>IF(OR(A272="",A272&lt;'月度總覽'!$F$6),0,'月度總覽'!$F$13)</f>
        <v>0.00</v>
      </c>
      <c r="I272" s="40" t="str">
        <f t="shared" si="2"/>
        <v/>
      </c>
      <c r="J272" s="40" t="str">
        <f>IF(OR(A272="",A272&lt;'月度總覽'!$F$6),"",'月度總覽'!$F$12-SUM($H$5:H272)+IF(AND('月度總覽'!$B$10="到帳日自動計入",'月度總覽'!$B$8&gt;'月度總覽'!$B$7,'月度總覽'!$B$8&lt;=A272),'月度總覽'!$B$9,0)+SUMIFS($E$5:E272,$A$5:A272,"&gt;"&amp;'月度總覽'!$B$7)-SUMIFS($G$5:G272,$A$5:A272,"&gt;"&amp;'月度總覽'!$B$7))</f>
        <v/>
      </c>
    </row>
    <row r="273" ht="15.75" customHeight="1">
      <c r="A273" s="39" t="str">
        <f>IF(269&lt;='月度總覽'!$F$5,'月度總覽'!$B$5+269-1,"")</f>
        <v/>
      </c>
      <c r="B273" t="str">
        <f t="shared" si="1"/>
        <v/>
      </c>
      <c r="C273" t="str">
        <f>IF(A273="","",IF(A273&lt;'月度總覽'!$F$6,"已過",IF(A273='月度總覽'!$F$6,"基準日","未來")))</f>
        <v/>
      </c>
      <c r="D273" s="40" t="str">
        <f>IF(A273="","",IF(A273='月度總覽'!$B$8,'月度總覽'!$B$9,0))</f>
        <v/>
      </c>
      <c r="E273" s="40" t="str">
        <f>IF(A273="","",SUMIFS('收支明細'!$E:$E,'收支明細'!$B:$B,"收入",'收支明細'!$A:$A,A273))</f>
        <v/>
      </c>
      <c r="F273" s="40" t="str">
        <f>IF(A273="","",SUMIFS('固定支出'!$C:$C,'固定支出'!$G:$G,"是",'固定支出'!$D:$D,A273))</f>
        <v/>
      </c>
      <c r="G273" s="40" t="str">
        <f>IF(A273="","",SUMIFS('收支明細'!$E:$E,'收支明細'!$B:$B,"支出",'收支明細'!$A:$A,A273))</f>
        <v/>
      </c>
      <c r="H273" s="40" t="str">
        <f>IF(OR(A273="",A273&lt;'月度總覽'!$F$6),0,'月度總覽'!$F$13)</f>
        <v>0.00</v>
      </c>
      <c r="I273" s="40" t="str">
        <f t="shared" si="2"/>
        <v/>
      </c>
      <c r="J273" s="40" t="str">
        <f>IF(OR(A273="",A273&lt;'月度總覽'!$F$6),"",'月度總覽'!$F$12-SUM($H$5:H273)+IF(AND('月度總覽'!$B$10="到帳日自動計入",'月度總覽'!$B$8&gt;'月度總覽'!$B$7,'月度總覽'!$B$8&lt;=A273),'月度總覽'!$B$9,0)+SUMIFS($E$5:E273,$A$5:A273,"&gt;"&amp;'月度總覽'!$B$7)-SUMIFS($G$5:G273,$A$5:A273,"&gt;"&amp;'月度總覽'!$B$7))</f>
        <v/>
      </c>
    </row>
    <row r="274" ht="15.75" customHeight="1">
      <c r="A274" s="39" t="str">
        <f>IF(270&lt;='月度總覽'!$F$5,'月度總覽'!$B$5+270-1,"")</f>
        <v/>
      </c>
      <c r="B274" t="str">
        <f t="shared" si="1"/>
        <v/>
      </c>
      <c r="C274" t="str">
        <f>IF(A274="","",IF(A274&lt;'月度總覽'!$F$6,"已過",IF(A274='月度總覽'!$F$6,"基準日","未來")))</f>
        <v/>
      </c>
      <c r="D274" s="40" t="str">
        <f>IF(A274="","",IF(A274='月度總覽'!$B$8,'月度總覽'!$B$9,0))</f>
        <v/>
      </c>
      <c r="E274" s="40" t="str">
        <f>IF(A274="","",SUMIFS('收支明細'!$E:$E,'收支明細'!$B:$B,"收入",'收支明細'!$A:$A,A274))</f>
        <v/>
      </c>
      <c r="F274" s="40" t="str">
        <f>IF(A274="","",SUMIFS('固定支出'!$C:$C,'固定支出'!$G:$G,"是",'固定支出'!$D:$D,A274))</f>
        <v/>
      </c>
      <c r="G274" s="40" t="str">
        <f>IF(A274="","",SUMIFS('收支明細'!$E:$E,'收支明細'!$B:$B,"支出",'收支明細'!$A:$A,A274))</f>
        <v/>
      </c>
      <c r="H274" s="40" t="str">
        <f>IF(OR(A274="",A274&lt;'月度總覽'!$F$6),0,'月度總覽'!$F$13)</f>
        <v>0.00</v>
      </c>
      <c r="I274" s="40" t="str">
        <f t="shared" si="2"/>
        <v/>
      </c>
      <c r="J274" s="40" t="str">
        <f>IF(OR(A274="",A274&lt;'月度總覽'!$F$6),"",'月度總覽'!$F$12-SUM($H$5:H274)+IF(AND('月度總覽'!$B$10="到帳日自動計入",'月度總覽'!$B$8&gt;'月度總覽'!$B$7,'月度總覽'!$B$8&lt;=A274),'月度總覽'!$B$9,0)+SUMIFS($E$5:E274,$A$5:A274,"&gt;"&amp;'月度總覽'!$B$7)-SUMIFS($G$5:G274,$A$5:A274,"&gt;"&amp;'月度總覽'!$B$7))</f>
        <v/>
      </c>
    </row>
    <row r="275" ht="15.75" customHeight="1">
      <c r="A275" s="39" t="str">
        <f>IF(271&lt;='月度總覽'!$F$5,'月度總覽'!$B$5+271-1,"")</f>
        <v/>
      </c>
      <c r="B275" t="str">
        <f t="shared" si="1"/>
        <v/>
      </c>
      <c r="C275" t="str">
        <f>IF(A275="","",IF(A275&lt;'月度總覽'!$F$6,"已過",IF(A275='月度總覽'!$F$6,"基準日","未來")))</f>
        <v/>
      </c>
      <c r="D275" s="40" t="str">
        <f>IF(A275="","",IF(A275='月度總覽'!$B$8,'月度總覽'!$B$9,0))</f>
        <v/>
      </c>
      <c r="E275" s="40" t="str">
        <f>IF(A275="","",SUMIFS('收支明細'!$E:$E,'收支明細'!$B:$B,"收入",'收支明細'!$A:$A,A275))</f>
        <v/>
      </c>
      <c r="F275" s="40" t="str">
        <f>IF(A275="","",SUMIFS('固定支出'!$C:$C,'固定支出'!$G:$G,"是",'固定支出'!$D:$D,A275))</f>
        <v/>
      </c>
      <c r="G275" s="40" t="str">
        <f>IF(A275="","",SUMIFS('收支明細'!$E:$E,'收支明細'!$B:$B,"支出",'收支明細'!$A:$A,A275))</f>
        <v/>
      </c>
      <c r="H275" s="40" t="str">
        <f>IF(OR(A275="",A275&lt;'月度總覽'!$F$6),0,'月度總覽'!$F$13)</f>
        <v>0.00</v>
      </c>
      <c r="I275" s="40" t="str">
        <f t="shared" si="2"/>
        <v/>
      </c>
      <c r="J275" s="40" t="str">
        <f>IF(OR(A275="",A275&lt;'月度總覽'!$F$6),"",'月度總覽'!$F$12-SUM($H$5:H275)+IF(AND('月度總覽'!$B$10="到帳日自動計入",'月度總覽'!$B$8&gt;'月度總覽'!$B$7,'月度總覽'!$B$8&lt;=A275),'月度總覽'!$B$9,0)+SUMIFS($E$5:E275,$A$5:A275,"&gt;"&amp;'月度總覽'!$B$7)-SUMIFS($G$5:G275,$A$5:A275,"&gt;"&amp;'月度總覽'!$B$7))</f>
        <v/>
      </c>
    </row>
    <row r="276" ht="15.75" customHeight="1">
      <c r="A276" s="39" t="str">
        <f>IF(272&lt;='月度總覽'!$F$5,'月度總覽'!$B$5+272-1,"")</f>
        <v/>
      </c>
      <c r="B276" t="str">
        <f t="shared" si="1"/>
        <v/>
      </c>
      <c r="C276" t="str">
        <f>IF(A276="","",IF(A276&lt;'月度總覽'!$F$6,"已過",IF(A276='月度總覽'!$F$6,"基準日","未來")))</f>
        <v/>
      </c>
      <c r="D276" s="40" t="str">
        <f>IF(A276="","",IF(A276='月度總覽'!$B$8,'月度總覽'!$B$9,0))</f>
        <v/>
      </c>
      <c r="E276" s="40" t="str">
        <f>IF(A276="","",SUMIFS('收支明細'!$E:$E,'收支明細'!$B:$B,"收入",'收支明細'!$A:$A,A276))</f>
        <v/>
      </c>
      <c r="F276" s="40" t="str">
        <f>IF(A276="","",SUMIFS('固定支出'!$C:$C,'固定支出'!$G:$G,"是",'固定支出'!$D:$D,A276))</f>
        <v/>
      </c>
      <c r="G276" s="40" t="str">
        <f>IF(A276="","",SUMIFS('收支明細'!$E:$E,'收支明細'!$B:$B,"支出",'收支明細'!$A:$A,A276))</f>
        <v/>
      </c>
      <c r="H276" s="40" t="str">
        <f>IF(OR(A276="",A276&lt;'月度總覽'!$F$6),0,'月度總覽'!$F$13)</f>
        <v>0.00</v>
      </c>
      <c r="I276" s="40" t="str">
        <f t="shared" si="2"/>
        <v/>
      </c>
      <c r="J276" s="40" t="str">
        <f>IF(OR(A276="",A276&lt;'月度總覽'!$F$6),"",'月度總覽'!$F$12-SUM($H$5:H276)+IF(AND('月度總覽'!$B$10="到帳日自動計入",'月度總覽'!$B$8&gt;'月度總覽'!$B$7,'月度總覽'!$B$8&lt;=A276),'月度總覽'!$B$9,0)+SUMIFS($E$5:E276,$A$5:A276,"&gt;"&amp;'月度總覽'!$B$7)-SUMIFS($G$5:G276,$A$5:A276,"&gt;"&amp;'月度總覽'!$B$7))</f>
        <v/>
      </c>
    </row>
    <row r="277" ht="15.75" customHeight="1">
      <c r="A277" s="39" t="str">
        <f>IF(273&lt;='月度總覽'!$F$5,'月度總覽'!$B$5+273-1,"")</f>
        <v/>
      </c>
      <c r="B277" t="str">
        <f t="shared" si="1"/>
        <v/>
      </c>
      <c r="C277" t="str">
        <f>IF(A277="","",IF(A277&lt;'月度總覽'!$F$6,"已過",IF(A277='月度總覽'!$F$6,"基準日","未來")))</f>
        <v/>
      </c>
      <c r="D277" s="40" t="str">
        <f>IF(A277="","",IF(A277='月度總覽'!$B$8,'月度總覽'!$B$9,0))</f>
        <v/>
      </c>
      <c r="E277" s="40" t="str">
        <f>IF(A277="","",SUMIFS('收支明細'!$E:$E,'收支明細'!$B:$B,"收入",'收支明細'!$A:$A,A277))</f>
        <v/>
      </c>
      <c r="F277" s="40" t="str">
        <f>IF(A277="","",SUMIFS('固定支出'!$C:$C,'固定支出'!$G:$G,"是",'固定支出'!$D:$D,A277))</f>
        <v/>
      </c>
      <c r="G277" s="40" t="str">
        <f>IF(A277="","",SUMIFS('收支明細'!$E:$E,'收支明細'!$B:$B,"支出",'收支明細'!$A:$A,A277))</f>
        <v/>
      </c>
      <c r="H277" s="40" t="str">
        <f>IF(OR(A277="",A277&lt;'月度總覽'!$F$6),0,'月度總覽'!$F$13)</f>
        <v>0.00</v>
      </c>
      <c r="I277" s="40" t="str">
        <f t="shared" si="2"/>
        <v/>
      </c>
      <c r="J277" s="40" t="str">
        <f>IF(OR(A277="",A277&lt;'月度總覽'!$F$6),"",'月度總覽'!$F$12-SUM($H$5:H277)+IF(AND('月度總覽'!$B$10="到帳日自動計入",'月度總覽'!$B$8&gt;'月度總覽'!$B$7,'月度總覽'!$B$8&lt;=A277),'月度總覽'!$B$9,0)+SUMIFS($E$5:E277,$A$5:A277,"&gt;"&amp;'月度總覽'!$B$7)-SUMIFS($G$5:G277,$A$5:A277,"&gt;"&amp;'月度總覽'!$B$7))</f>
        <v/>
      </c>
    </row>
    <row r="278" ht="15.75" customHeight="1">
      <c r="A278" s="39" t="str">
        <f>IF(274&lt;='月度總覽'!$F$5,'月度總覽'!$B$5+274-1,"")</f>
        <v/>
      </c>
      <c r="B278" t="str">
        <f t="shared" si="1"/>
        <v/>
      </c>
      <c r="C278" t="str">
        <f>IF(A278="","",IF(A278&lt;'月度總覽'!$F$6,"已過",IF(A278='月度總覽'!$F$6,"基準日","未來")))</f>
        <v/>
      </c>
      <c r="D278" s="40" t="str">
        <f>IF(A278="","",IF(A278='月度總覽'!$B$8,'月度總覽'!$B$9,0))</f>
        <v/>
      </c>
      <c r="E278" s="40" t="str">
        <f>IF(A278="","",SUMIFS('收支明細'!$E:$E,'收支明細'!$B:$B,"收入",'收支明細'!$A:$A,A278))</f>
        <v/>
      </c>
      <c r="F278" s="40" t="str">
        <f>IF(A278="","",SUMIFS('固定支出'!$C:$C,'固定支出'!$G:$G,"是",'固定支出'!$D:$D,A278))</f>
        <v/>
      </c>
      <c r="G278" s="40" t="str">
        <f>IF(A278="","",SUMIFS('收支明細'!$E:$E,'收支明細'!$B:$B,"支出",'收支明細'!$A:$A,A278))</f>
        <v/>
      </c>
      <c r="H278" s="40" t="str">
        <f>IF(OR(A278="",A278&lt;'月度總覽'!$F$6),0,'月度總覽'!$F$13)</f>
        <v>0.00</v>
      </c>
      <c r="I278" s="40" t="str">
        <f t="shared" si="2"/>
        <v/>
      </c>
      <c r="J278" s="40" t="str">
        <f>IF(OR(A278="",A278&lt;'月度總覽'!$F$6),"",'月度總覽'!$F$12-SUM($H$5:H278)+IF(AND('月度總覽'!$B$10="到帳日自動計入",'月度總覽'!$B$8&gt;'月度總覽'!$B$7,'月度總覽'!$B$8&lt;=A278),'月度總覽'!$B$9,0)+SUMIFS($E$5:E278,$A$5:A278,"&gt;"&amp;'月度總覽'!$B$7)-SUMIFS($G$5:G278,$A$5:A278,"&gt;"&amp;'月度總覽'!$B$7))</f>
        <v/>
      </c>
    </row>
    <row r="279" ht="15.75" customHeight="1">
      <c r="A279" s="39" t="str">
        <f>IF(275&lt;='月度總覽'!$F$5,'月度總覽'!$B$5+275-1,"")</f>
        <v/>
      </c>
      <c r="B279" t="str">
        <f t="shared" si="1"/>
        <v/>
      </c>
      <c r="C279" t="str">
        <f>IF(A279="","",IF(A279&lt;'月度總覽'!$F$6,"已過",IF(A279='月度總覽'!$F$6,"基準日","未來")))</f>
        <v/>
      </c>
      <c r="D279" s="40" t="str">
        <f>IF(A279="","",IF(A279='月度總覽'!$B$8,'月度總覽'!$B$9,0))</f>
        <v/>
      </c>
      <c r="E279" s="40" t="str">
        <f>IF(A279="","",SUMIFS('收支明細'!$E:$E,'收支明細'!$B:$B,"收入",'收支明細'!$A:$A,A279))</f>
        <v/>
      </c>
      <c r="F279" s="40" t="str">
        <f>IF(A279="","",SUMIFS('固定支出'!$C:$C,'固定支出'!$G:$G,"是",'固定支出'!$D:$D,A279))</f>
        <v/>
      </c>
      <c r="G279" s="40" t="str">
        <f>IF(A279="","",SUMIFS('收支明細'!$E:$E,'收支明細'!$B:$B,"支出",'收支明細'!$A:$A,A279))</f>
        <v/>
      </c>
      <c r="H279" s="40" t="str">
        <f>IF(OR(A279="",A279&lt;'月度總覽'!$F$6),0,'月度總覽'!$F$13)</f>
        <v>0.00</v>
      </c>
      <c r="I279" s="40" t="str">
        <f t="shared" si="2"/>
        <v/>
      </c>
      <c r="J279" s="40" t="str">
        <f>IF(OR(A279="",A279&lt;'月度總覽'!$F$6),"",'月度總覽'!$F$12-SUM($H$5:H279)+IF(AND('月度總覽'!$B$10="到帳日自動計入",'月度總覽'!$B$8&gt;'月度總覽'!$B$7,'月度總覽'!$B$8&lt;=A279),'月度總覽'!$B$9,0)+SUMIFS($E$5:E279,$A$5:A279,"&gt;"&amp;'月度總覽'!$B$7)-SUMIFS($G$5:G279,$A$5:A279,"&gt;"&amp;'月度總覽'!$B$7))</f>
        <v/>
      </c>
    </row>
    <row r="280" ht="15.75" customHeight="1">
      <c r="A280" s="39" t="str">
        <f>IF(276&lt;='月度總覽'!$F$5,'月度總覽'!$B$5+276-1,"")</f>
        <v/>
      </c>
      <c r="B280" t="str">
        <f t="shared" si="1"/>
        <v/>
      </c>
      <c r="C280" t="str">
        <f>IF(A280="","",IF(A280&lt;'月度總覽'!$F$6,"已過",IF(A280='月度總覽'!$F$6,"基準日","未來")))</f>
        <v/>
      </c>
      <c r="D280" s="40" t="str">
        <f>IF(A280="","",IF(A280='月度總覽'!$B$8,'月度總覽'!$B$9,0))</f>
        <v/>
      </c>
      <c r="E280" s="40" t="str">
        <f>IF(A280="","",SUMIFS('收支明細'!$E:$E,'收支明細'!$B:$B,"收入",'收支明細'!$A:$A,A280))</f>
        <v/>
      </c>
      <c r="F280" s="40" t="str">
        <f>IF(A280="","",SUMIFS('固定支出'!$C:$C,'固定支出'!$G:$G,"是",'固定支出'!$D:$D,A280))</f>
        <v/>
      </c>
      <c r="G280" s="40" t="str">
        <f>IF(A280="","",SUMIFS('收支明細'!$E:$E,'收支明細'!$B:$B,"支出",'收支明細'!$A:$A,A280))</f>
        <v/>
      </c>
      <c r="H280" s="40" t="str">
        <f>IF(OR(A280="",A280&lt;'月度總覽'!$F$6),0,'月度總覽'!$F$13)</f>
        <v>0.00</v>
      </c>
      <c r="I280" s="40" t="str">
        <f t="shared" si="2"/>
        <v/>
      </c>
      <c r="J280" s="40" t="str">
        <f>IF(OR(A280="",A280&lt;'月度總覽'!$F$6),"",'月度總覽'!$F$12-SUM($H$5:H280)+IF(AND('月度總覽'!$B$10="到帳日自動計入",'月度總覽'!$B$8&gt;'月度總覽'!$B$7,'月度總覽'!$B$8&lt;=A280),'月度總覽'!$B$9,0)+SUMIFS($E$5:E280,$A$5:A280,"&gt;"&amp;'月度總覽'!$B$7)-SUMIFS($G$5:G280,$A$5:A280,"&gt;"&amp;'月度總覽'!$B$7))</f>
        <v/>
      </c>
    </row>
    <row r="281" ht="15.75" customHeight="1">
      <c r="A281" s="39" t="str">
        <f>IF(277&lt;='月度總覽'!$F$5,'月度總覽'!$B$5+277-1,"")</f>
        <v/>
      </c>
      <c r="B281" t="str">
        <f t="shared" si="1"/>
        <v/>
      </c>
      <c r="C281" t="str">
        <f>IF(A281="","",IF(A281&lt;'月度總覽'!$F$6,"已過",IF(A281='月度總覽'!$F$6,"基準日","未來")))</f>
        <v/>
      </c>
      <c r="D281" s="40" t="str">
        <f>IF(A281="","",IF(A281='月度總覽'!$B$8,'月度總覽'!$B$9,0))</f>
        <v/>
      </c>
      <c r="E281" s="40" t="str">
        <f>IF(A281="","",SUMIFS('收支明細'!$E:$E,'收支明細'!$B:$B,"收入",'收支明細'!$A:$A,A281))</f>
        <v/>
      </c>
      <c r="F281" s="40" t="str">
        <f>IF(A281="","",SUMIFS('固定支出'!$C:$C,'固定支出'!$G:$G,"是",'固定支出'!$D:$D,A281))</f>
        <v/>
      </c>
      <c r="G281" s="40" t="str">
        <f>IF(A281="","",SUMIFS('收支明細'!$E:$E,'收支明細'!$B:$B,"支出",'收支明細'!$A:$A,A281))</f>
        <v/>
      </c>
      <c r="H281" s="40" t="str">
        <f>IF(OR(A281="",A281&lt;'月度總覽'!$F$6),0,'月度總覽'!$F$13)</f>
        <v>0.00</v>
      </c>
      <c r="I281" s="40" t="str">
        <f t="shared" si="2"/>
        <v/>
      </c>
      <c r="J281" s="40" t="str">
        <f>IF(OR(A281="",A281&lt;'月度總覽'!$F$6),"",'月度總覽'!$F$12-SUM($H$5:H281)+IF(AND('月度總覽'!$B$10="到帳日自動計入",'月度總覽'!$B$8&gt;'月度總覽'!$B$7,'月度總覽'!$B$8&lt;=A281),'月度總覽'!$B$9,0)+SUMIFS($E$5:E281,$A$5:A281,"&gt;"&amp;'月度總覽'!$B$7)-SUMIFS($G$5:G281,$A$5:A281,"&gt;"&amp;'月度總覽'!$B$7))</f>
        <v/>
      </c>
    </row>
    <row r="282" ht="15.75" customHeight="1">
      <c r="A282" s="39" t="str">
        <f>IF(278&lt;='月度總覽'!$F$5,'月度總覽'!$B$5+278-1,"")</f>
        <v/>
      </c>
      <c r="B282" t="str">
        <f t="shared" si="1"/>
        <v/>
      </c>
      <c r="C282" t="str">
        <f>IF(A282="","",IF(A282&lt;'月度總覽'!$F$6,"已過",IF(A282='月度總覽'!$F$6,"基準日","未來")))</f>
        <v/>
      </c>
      <c r="D282" s="40" t="str">
        <f>IF(A282="","",IF(A282='月度總覽'!$B$8,'月度總覽'!$B$9,0))</f>
        <v/>
      </c>
      <c r="E282" s="40" t="str">
        <f>IF(A282="","",SUMIFS('收支明細'!$E:$E,'收支明細'!$B:$B,"收入",'收支明細'!$A:$A,A282))</f>
        <v/>
      </c>
      <c r="F282" s="40" t="str">
        <f>IF(A282="","",SUMIFS('固定支出'!$C:$C,'固定支出'!$G:$G,"是",'固定支出'!$D:$D,A282))</f>
        <v/>
      </c>
      <c r="G282" s="40" t="str">
        <f>IF(A282="","",SUMIFS('收支明細'!$E:$E,'收支明細'!$B:$B,"支出",'收支明細'!$A:$A,A282))</f>
        <v/>
      </c>
      <c r="H282" s="40" t="str">
        <f>IF(OR(A282="",A282&lt;'月度總覽'!$F$6),0,'月度總覽'!$F$13)</f>
        <v>0.00</v>
      </c>
      <c r="I282" s="40" t="str">
        <f t="shared" si="2"/>
        <v/>
      </c>
      <c r="J282" s="40" t="str">
        <f>IF(OR(A282="",A282&lt;'月度總覽'!$F$6),"",'月度總覽'!$F$12-SUM($H$5:H282)+IF(AND('月度總覽'!$B$10="到帳日自動計入",'月度總覽'!$B$8&gt;'月度總覽'!$B$7,'月度總覽'!$B$8&lt;=A282),'月度總覽'!$B$9,0)+SUMIFS($E$5:E282,$A$5:A282,"&gt;"&amp;'月度總覽'!$B$7)-SUMIFS($G$5:G282,$A$5:A282,"&gt;"&amp;'月度總覽'!$B$7))</f>
        <v/>
      </c>
    </row>
    <row r="283" ht="15.75" customHeight="1">
      <c r="A283" s="39" t="str">
        <f>IF(279&lt;='月度總覽'!$F$5,'月度總覽'!$B$5+279-1,"")</f>
        <v/>
      </c>
      <c r="B283" t="str">
        <f t="shared" si="1"/>
        <v/>
      </c>
      <c r="C283" t="str">
        <f>IF(A283="","",IF(A283&lt;'月度總覽'!$F$6,"已過",IF(A283='月度總覽'!$F$6,"基準日","未來")))</f>
        <v/>
      </c>
      <c r="D283" s="40" t="str">
        <f>IF(A283="","",IF(A283='月度總覽'!$B$8,'月度總覽'!$B$9,0))</f>
        <v/>
      </c>
      <c r="E283" s="40" t="str">
        <f>IF(A283="","",SUMIFS('收支明細'!$E:$E,'收支明細'!$B:$B,"收入",'收支明細'!$A:$A,A283))</f>
        <v/>
      </c>
      <c r="F283" s="40" t="str">
        <f>IF(A283="","",SUMIFS('固定支出'!$C:$C,'固定支出'!$G:$G,"是",'固定支出'!$D:$D,A283))</f>
        <v/>
      </c>
      <c r="G283" s="40" t="str">
        <f>IF(A283="","",SUMIFS('收支明細'!$E:$E,'收支明細'!$B:$B,"支出",'收支明細'!$A:$A,A283))</f>
        <v/>
      </c>
      <c r="H283" s="40" t="str">
        <f>IF(OR(A283="",A283&lt;'月度總覽'!$F$6),0,'月度總覽'!$F$13)</f>
        <v>0.00</v>
      </c>
      <c r="I283" s="40" t="str">
        <f t="shared" si="2"/>
        <v/>
      </c>
      <c r="J283" s="40" t="str">
        <f>IF(OR(A283="",A283&lt;'月度總覽'!$F$6),"",'月度總覽'!$F$12-SUM($H$5:H283)+IF(AND('月度總覽'!$B$10="到帳日自動計入",'月度總覽'!$B$8&gt;'月度總覽'!$B$7,'月度總覽'!$B$8&lt;=A283),'月度總覽'!$B$9,0)+SUMIFS($E$5:E283,$A$5:A283,"&gt;"&amp;'月度總覽'!$B$7)-SUMIFS($G$5:G283,$A$5:A283,"&gt;"&amp;'月度總覽'!$B$7))</f>
        <v/>
      </c>
    </row>
    <row r="284" ht="15.75" customHeight="1">
      <c r="A284" s="39" t="str">
        <f>IF(280&lt;='月度總覽'!$F$5,'月度總覽'!$B$5+280-1,"")</f>
        <v/>
      </c>
      <c r="B284" t="str">
        <f t="shared" si="1"/>
        <v/>
      </c>
      <c r="C284" t="str">
        <f>IF(A284="","",IF(A284&lt;'月度總覽'!$F$6,"已過",IF(A284='月度總覽'!$F$6,"基準日","未來")))</f>
        <v/>
      </c>
      <c r="D284" s="40" t="str">
        <f>IF(A284="","",IF(A284='月度總覽'!$B$8,'月度總覽'!$B$9,0))</f>
        <v/>
      </c>
      <c r="E284" s="40" t="str">
        <f>IF(A284="","",SUMIFS('收支明細'!$E:$E,'收支明細'!$B:$B,"收入",'收支明細'!$A:$A,A284))</f>
        <v/>
      </c>
      <c r="F284" s="40" t="str">
        <f>IF(A284="","",SUMIFS('固定支出'!$C:$C,'固定支出'!$G:$G,"是",'固定支出'!$D:$D,A284))</f>
        <v/>
      </c>
      <c r="G284" s="40" t="str">
        <f>IF(A284="","",SUMIFS('收支明細'!$E:$E,'收支明細'!$B:$B,"支出",'收支明細'!$A:$A,A284))</f>
        <v/>
      </c>
      <c r="H284" s="40" t="str">
        <f>IF(OR(A284="",A284&lt;'月度總覽'!$F$6),0,'月度總覽'!$F$13)</f>
        <v>0.00</v>
      </c>
      <c r="I284" s="40" t="str">
        <f t="shared" si="2"/>
        <v/>
      </c>
      <c r="J284" s="40" t="str">
        <f>IF(OR(A284="",A284&lt;'月度總覽'!$F$6),"",'月度總覽'!$F$12-SUM($H$5:H284)+IF(AND('月度總覽'!$B$10="到帳日自動計入",'月度總覽'!$B$8&gt;'月度總覽'!$B$7,'月度總覽'!$B$8&lt;=A284),'月度總覽'!$B$9,0)+SUMIFS($E$5:E284,$A$5:A284,"&gt;"&amp;'月度總覽'!$B$7)-SUMIFS($G$5:G284,$A$5:A284,"&gt;"&amp;'月度總覽'!$B$7))</f>
        <v/>
      </c>
    </row>
    <row r="285" ht="15.75" customHeight="1">
      <c r="A285" s="39" t="str">
        <f>IF(281&lt;='月度總覽'!$F$5,'月度總覽'!$B$5+281-1,"")</f>
        <v/>
      </c>
      <c r="B285" t="str">
        <f t="shared" si="1"/>
        <v/>
      </c>
      <c r="C285" t="str">
        <f>IF(A285="","",IF(A285&lt;'月度總覽'!$F$6,"已過",IF(A285='月度總覽'!$F$6,"基準日","未來")))</f>
        <v/>
      </c>
      <c r="D285" s="40" t="str">
        <f>IF(A285="","",IF(A285='月度總覽'!$B$8,'月度總覽'!$B$9,0))</f>
        <v/>
      </c>
      <c r="E285" s="40" t="str">
        <f>IF(A285="","",SUMIFS('收支明細'!$E:$E,'收支明細'!$B:$B,"收入",'收支明細'!$A:$A,A285))</f>
        <v/>
      </c>
      <c r="F285" s="40" t="str">
        <f>IF(A285="","",SUMIFS('固定支出'!$C:$C,'固定支出'!$G:$G,"是",'固定支出'!$D:$D,A285))</f>
        <v/>
      </c>
      <c r="G285" s="40" t="str">
        <f>IF(A285="","",SUMIFS('收支明細'!$E:$E,'收支明細'!$B:$B,"支出",'收支明細'!$A:$A,A285))</f>
        <v/>
      </c>
      <c r="H285" s="40" t="str">
        <f>IF(OR(A285="",A285&lt;'月度總覽'!$F$6),0,'月度總覽'!$F$13)</f>
        <v>0.00</v>
      </c>
      <c r="I285" s="40" t="str">
        <f t="shared" si="2"/>
        <v/>
      </c>
      <c r="J285" s="40" t="str">
        <f>IF(OR(A285="",A285&lt;'月度總覽'!$F$6),"",'月度總覽'!$F$12-SUM($H$5:H285)+IF(AND('月度總覽'!$B$10="到帳日自動計入",'月度總覽'!$B$8&gt;'月度總覽'!$B$7,'月度總覽'!$B$8&lt;=A285),'月度總覽'!$B$9,0)+SUMIFS($E$5:E285,$A$5:A285,"&gt;"&amp;'月度總覽'!$B$7)-SUMIFS($G$5:G285,$A$5:A285,"&gt;"&amp;'月度總覽'!$B$7))</f>
        <v/>
      </c>
    </row>
    <row r="286" ht="15.75" customHeight="1">
      <c r="A286" s="39" t="str">
        <f>IF(282&lt;='月度總覽'!$F$5,'月度總覽'!$B$5+282-1,"")</f>
        <v/>
      </c>
      <c r="B286" t="str">
        <f t="shared" si="1"/>
        <v/>
      </c>
      <c r="C286" t="str">
        <f>IF(A286="","",IF(A286&lt;'月度總覽'!$F$6,"已過",IF(A286='月度總覽'!$F$6,"基準日","未來")))</f>
        <v/>
      </c>
      <c r="D286" s="40" t="str">
        <f>IF(A286="","",IF(A286='月度總覽'!$B$8,'月度總覽'!$B$9,0))</f>
        <v/>
      </c>
      <c r="E286" s="40" t="str">
        <f>IF(A286="","",SUMIFS('收支明細'!$E:$E,'收支明細'!$B:$B,"收入",'收支明細'!$A:$A,A286))</f>
        <v/>
      </c>
      <c r="F286" s="40" t="str">
        <f>IF(A286="","",SUMIFS('固定支出'!$C:$C,'固定支出'!$G:$G,"是",'固定支出'!$D:$D,A286))</f>
        <v/>
      </c>
      <c r="G286" s="40" t="str">
        <f>IF(A286="","",SUMIFS('收支明細'!$E:$E,'收支明細'!$B:$B,"支出",'收支明細'!$A:$A,A286))</f>
        <v/>
      </c>
      <c r="H286" s="40" t="str">
        <f>IF(OR(A286="",A286&lt;'月度總覽'!$F$6),0,'月度總覽'!$F$13)</f>
        <v>0.00</v>
      </c>
      <c r="I286" s="40" t="str">
        <f t="shared" si="2"/>
        <v/>
      </c>
      <c r="J286" s="40" t="str">
        <f>IF(OR(A286="",A286&lt;'月度總覽'!$F$6),"",'月度總覽'!$F$12-SUM($H$5:H286)+IF(AND('月度總覽'!$B$10="到帳日自動計入",'月度總覽'!$B$8&gt;'月度總覽'!$B$7,'月度總覽'!$B$8&lt;=A286),'月度總覽'!$B$9,0)+SUMIFS($E$5:E286,$A$5:A286,"&gt;"&amp;'月度總覽'!$B$7)-SUMIFS($G$5:G286,$A$5:A286,"&gt;"&amp;'月度總覽'!$B$7))</f>
        <v/>
      </c>
    </row>
    <row r="287" ht="15.75" customHeight="1">
      <c r="A287" s="39" t="str">
        <f>IF(283&lt;='月度總覽'!$F$5,'月度總覽'!$B$5+283-1,"")</f>
        <v/>
      </c>
      <c r="B287" t="str">
        <f t="shared" si="1"/>
        <v/>
      </c>
      <c r="C287" t="str">
        <f>IF(A287="","",IF(A287&lt;'月度總覽'!$F$6,"已過",IF(A287='月度總覽'!$F$6,"基準日","未來")))</f>
        <v/>
      </c>
      <c r="D287" s="40" t="str">
        <f>IF(A287="","",IF(A287='月度總覽'!$B$8,'月度總覽'!$B$9,0))</f>
        <v/>
      </c>
      <c r="E287" s="40" t="str">
        <f>IF(A287="","",SUMIFS('收支明細'!$E:$E,'收支明細'!$B:$B,"收入",'收支明細'!$A:$A,A287))</f>
        <v/>
      </c>
      <c r="F287" s="40" t="str">
        <f>IF(A287="","",SUMIFS('固定支出'!$C:$C,'固定支出'!$G:$G,"是",'固定支出'!$D:$D,A287))</f>
        <v/>
      </c>
      <c r="G287" s="40" t="str">
        <f>IF(A287="","",SUMIFS('收支明細'!$E:$E,'收支明細'!$B:$B,"支出",'收支明細'!$A:$A,A287))</f>
        <v/>
      </c>
      <c r="H287" s="40" t="str">
        <f>IF(OR(A287="",A287&lt;'月度總覽'!$F$6),0,'月度總覽'!$F$13)</f>
        <v>0.00</v>
      </c>
      <c r="I287" s="40" t="str">
        <f t="shared" si="2"/>
        <v/>
      </c>
      <c r="J287" s="40" t="str">
        <f>IF(OR(A287="",A287&lt;'月度總覽'!$F$6),"",'月度總覽'!$F$12-SUM($H$5:H287)+IF(AND('月度總覽'!$B$10="到帳日自動計入",'月度總覽'!$B$8&gt;'月度總覽'!$B$7,'月度總覽'!$B$8&lt;=A287),'月度總覽'!$B$9,0)+SUMIFS($E$5:E287,$A$5:A287,"&gt;"&amp;'月度總覽'!$B$7)-SUMIFS($G$5:G287,$A$5:A287,"&gt;"&amp;'月度總覽'!$B$7))</f>
        <v/>
      </c>
    </row>
    <row r="288" ht="15.75" customHeight="1">
      <c r="A288" s="39" t="str">
        <f>IF(284&lt;='月度總覽'!$F$5,'月度總覽'!$B$5+284-1,"")</f>
        <v/>
      </c>
      <c r="B288" t="str">
        <f t="shared" si="1"/>
        <v/>
      </c>
      <c r="C288" t="str">
        <f>IF(A288="","",IF(A288&lt;'月度總覽'!$F$6,"已過",IF(A288='月度總覽'!$F$6,"基準日","未來")))</f>
        <v/>
      </c>
      <c r="D288" s="40" t="str">
        <f>IF(A288="","",IF(A288='月度總覽'!$B$8,'月度總覽'!$B$9,0))</f>
        <v/>
      </c>
      <c r="E288" s="40" t="str">
        <f>IF(A288="","",SUMIFS('收支明細'!$E:$E,'收支明細'!$B:$B,"收入",'收支明細'!$A:$A,A288))</f>
        <v/>
      </c>
      <c r="F288" s="40" t="str">
        <f>IF(A288="","",SUMIFS('固定支出'!$C:$C,'固定支出'!$G:$G,"是",'固定支出'!$D:$D,A288))</f>
        <v/>
      </c>
      <c r="G288" s="40" t="str">
        <f>IF(A288="","",SUMIFS('收支明細'!$E:$E,'收支明細'!$B:$B,"支出",'收支明細'!$A:$A,A288))</f>
        <v/>
      </c>
      <c r="H288" s="40" t="str">
        <f>IF(OR(A288="",A288&lt;'月度總覽'!$F$6),0,'月度總覽'!$F$13)</f>
        <v>0.00</v>
      </c>
      <c r="I288" s="40" t="str">
        <f t="shared" si="2"/>
        <v/>
      </c>
      <c r="J288" s="40" t="str">
        <f>IF(OR(A288="",A288&lt;'月度總覽'!$F$6),"",'月度總覽'!$F$12-SUM($H$5:H288)+IF(AND('月度總覽'!$B$10="到帳日自動計入",'月度總覽'!$B$8&gt;'月度總覽'!$B$7,'月度總覽'!$B$8&lt;=A288),'月度總覽'!$B$9,0)+SUMIFS($E$5:E288,$A$5:A288,"&gt;"&amp;'月度總覽'!$B$7)-SUMIFS($G$5:G288,$A$5:A288,"&gt;"&amp;'月度總覽'!$B$7))</f>
        <v/>
      </c>
    </row>
    <row r="289" ht="15.75" customHeight="1">
      <c r="A289" s="39" t="str">
        <f>IF(285&lt;='月度總覽'!$F$5,'月度總覽'!$B$5+285-1,"")</f>
        <v/>
      </c>
      <c r="B289" t="str">
        <f t="shared" si="1"/>
        <v/>
      </c>
      <c r="C289" t="str">
        <f>IF(A289="","",IF(A289&lt;'月度總覽'!$F$6,"已過",IF(A289='月度總覽'!$F$6,"基準日","未來")))</f>
        <v/>
      </c>
      <c r="D289" s="40" t="str">
        <f>IF(A289="","",IF(A289='月度總覽'!$B$8,'月度總覽'!$B$9,0))</f>
        <v/>
      </c>
      <c r="E289" s="40" t="str">
        <f>IF(A289="","",SUMIFS('收支明細'!$E:$E,'收支明細'!$B:$B,"收入",'收支明細'!$A:$A,A289))</f>
        <v/>
      </c>
      <c r="F289" s="40" t="str">
        <f>IF(A289="","",SUMIFS('固定支出'!$C:$C,'固定支出'!$G:$G,"是",'固定支出'!$D:$D,A289))</f>
        <v/>
      </c>
      <c r="G289" s="40" t="str">
        <f>IF(A289="","",SUMIFS('收支明細'!$E:$E,'收支明細'!$B:$B,"支出",'收支明細'!$A:$A,A289))</f>
        <v/>
      </c>
      <c r="H289" s="40" t="str">
        <f>IF(OR(A289="",A289&lt;'月度總覽'!$F$6),0,'月度總覽'!$F$13)</f>
        <v>0.00</v>
      </c>
      <c r="I289" s="40" t="str">
        <f t="shared" si="2"/>
        <v/>
      </c>
      <c r="J289" s="40" t="str">
        <f>IF(OR(A289="",A289&lt;'月度總覽'!$F$6),"",'月度總覽'!$F$12-SUM($H$5:H289)+IF(AND('月度總覽'!$B$10="到帳日自動計入",'月度總覽'!$B$8&gt;'月度總覽'!$B$7,'月度總覽'!$B$8&lt;=A289),'月度總覽'!$B$9,0)+SUMIFS($E$5:E289,$A$5:A289,"&gt;"&amp;'月度總覽'!$B$7)-SUMIFS($G$5:G289,$A$5:A289,"&gt;"&amp;'月度總覽'!$B$7))</f>
        <v/>
      </c>
    </row>
    <row r="290" ht="15.75" customHeight="1">
      <c r="A290" s="39" t="str">
        <f>IF(286&lt;='月度總覽'!$F$5,'月度總覽'!$B$5+286-1,"")</f>
        <v/>
      </c>
      <c r="B290" t="str">
        <f t="shared" si="1"/>
        <v/>
      </c>
      <c r="C290" t="str">
        <f>IF(A290="","",IF(A290&lt;'月度總覽'!$F$6,"已過",IF(A290='月度總覽'!$F$6,"基準日","未來")))</f>
        <v/>
      </c>
      <c r="D290" s="40" t="str">
        <f>IF(A290="","",IF(A290='月度總覽'!$B$8,'月度總覽'!$B$9,0))</f>
        <v/>
      </c>
      <c r="E290" s="40" t="str">
        <f>IF(A290="","",SUMIFS('收支明細'!$E:$E,'收支明細'!$B:$B,"收入",'收支明細'!$A:$A,A290))</f>
        <v/>
      </c>
      <c r="F290" s="40" t="str">
        <f>IF(A290="","",SUMIFS('固定支出'!$C:$C,'固定支出'!$G:$G,"是",'固定支出'!$D:$D,A290))</f>
        <v/>
      </c>
      <c r="G290" s="40" t="str">
        <f>IF(A290="","",SUMIFS('收支明細'!$E:$E,'收支明細'!$B:$B,"支出",'收支明細'!$A:$A,A290))</f>
        <v/>
      </c>
      <c r="H290" s="40" t="str">
        <f>IF(OR(A290="",A290&lt;'月度總覽'!$F$6),0,'月度總覽'!$F$13)</f>
        <v>0.00</v>
      </c>
      <c r="I290" s="40" t="str">
        <f t="shared" si="2"/>
        <v/>
      </c>
      <c r="J290" s="40" t="str">
        <f>IF(OR(A290="",A290&lt;'月度總覽'!$F$6),"",'月度總覽'!$F$12-SUM($H$5:H290)+IF(AND('月度總覽'!$B$10="到帳日自動計入",'月度總覽'!$B$8&gt;'月度總覽'!$B$7,'月度總覽'!$B$8&lt;=A290),'月度總覽'!$B$9,0)+SUMIFS($E$5:E290,$A$5:A290,"&gt;"&amp;'月度總覽'!$B$7)-SUMIFS($G$5:G290,$A$5:A290,"&gt;"&amp;'月度總覽'!$B$7))</f>
        <v/>
      </c>
    </row>
    <row r="291" ht="15.75" customHeight="1">
      <c r="A291" s="39" t="str">
        <f>IF(287&lt;='月度總覽'!$F$5,'月度總覽'!$B$5+287-1,"")</f>
        <v/>
      </c>
      <c r="B291" t="str">
        <f t="shared" si="1"/>
        <v/>
      </c>
      <c r="C291" t="str">
        <f>IF(A291="","",IF(A291&lt;'月度總覽'!$F$6,"已過",IF(A291='月度總覽'!$F$6,"基準日","未來")))</f>
        <v/>
      </c>
      <c r="D291" s="40" t="str">
        <f>IF(A291="","",IF(A291='月度總覽'!$B$8,'月度總覽'!$B$9,0))</f>
        <v/>
      </c>
      <c r="E291" s="40" t="str">
        <f>IF(A291="","",SUMIFS('收支明細'!$E:$E,'收支明細'!$B:$B,"收入",'收支明細'!$A:$A,A291))</f>
        <v/>
      </c>
      <c r="F291" s="40" t="str">
        <f>IF(A291="","",SUMIFS('固定支出'!$C:$C,'固定支出'!$G:$G,"是",'固定支出'!$D:$D,A291))</f>
        <v/>
      </c>
      <c r="G291" s="40" t="str">
        <f>IF(A291="","",SUMIFS('收支明細'!$E:$E,'收支明細'!$B:$B,"支出",'收支明細'!$A:$A,A291))</f>
        <v/>
      </c>
      <c r="H291" s="40" t="str">
        <f>IF(OR(A291="",A291&lt;'月度總覽'!$F$6),0,'月度總覽'!$F$13)</f>
        <v>0.00</v>
      </c>
      <c r="I291" s="40" t="str">
        <f t="shared" si="2"/>
        <v/>
      </c>
      <c r="J291" s="40" t="str">
        <f>IF(OR(A291="",A291&lt;'月度總覽'!$F$6),"",'月度總覽'!$F$12-SUM($H$5:H291)+IF(AND('月度總覽'!$B$10="到帳日自動計入",'月度總覽'!$B$8&gt;'月度總覽'!$B$7,'月度總覽'!$B$8&lt;=A291),'月度總覽'!$B$9,0)+SUMIFS($E$5:E291,$A$5:A291,"&gt;"&amp;'月度總覽'!$B$7)-SUMIFS($G$5:G291,$A$5:A291,"&gt;"&amp;'月度總覽'!$B$7))</f>
        <v/>
      </c>
    </row>
    <row r="292" ht="15.75" customHeight="1">
      <c r="A292" s="39" t="str">
        <f>IF(288&lt;='月度總覽'!$F$5,'月度總覽'!$B$5+288-1,"")</f>
        <v/>
      </c>
      <c r="B292" t="str">
        <f t="shared" si="1"/>
        <v/>
      </c>
      <c r="C292" t="str">
        <f>IF(A292="","",IF(A292&lt;'月度總覽'!$F$6,"已過",IF(A292='月度總覽'!$F$6,"基準日","未來")))</f>
        <v/>
      </c>
      <c r="D292" s="40" t="str">
        <f>IF(A292="","",IF(A292='月度總覽'!$B$8,'月度總覽'!$B$9,0))</f>
        <v/>
      </c>
      <c r="E292" s="40" t="str">
        <f>IF(A292="","",SUMIFS('收支明細'!$E:$E,'收支明細'!$B:$B,"收入",'收支明細'!$A:$A,A292))</f>
        <v/>
      </c>
      <c r="F292" s="40" t="str">
        <f>IF(A292="","",SUMIFS('固定支出'!$C:$C,'固定支出'!$G:$G,"是",'固定支出'!$D:$D,A292))</f>
        <v/>
      </c>
      <c r="G292" s="40" t="str">
        <f>IF(A292="","",SUMIFS('收支明細'!$E:$E,'收支明細'!$B:$B,"支出",'收支明細'!$A:$A,A292))</f>
        <v/>
      </c>
      <c r="H292" s="40" t="str">
        <f>IF(OR(A292="",A292&lt;'月度總覽'!$F$6),0,'月度總覽'!$F$13)</f>
        <v>0.00</v>
      </c>
      <c r="I292" s="40" t="str">
        <f t="shared" si="2"/>
        <v/>
      </c>
      <c r="J292" s="40" t="str">
        <f>IF(OR(A292="",A292&lt;'月度總覽'!$F$6),"",'月度總覽'!$F$12-SUM($H$5:H292)+IF(AND('月度總覽'!$B$10="到帳日自動計入",'月度總覽'!$B$8&gt;'月度總覽'!$B$7,'月度總覽'!$B$8&lt;=A292),'月度總覽'!$B$9,0)+SUMIFS($E$5:E292,$A$5:A292,"&gt;"&amp;'月度總覽'!$B$7)-SUMIFS($G$5:G292,$A$5:A292,"&gt;"&amp;'月度總覽'!$B$7))</f>
        <v/>
      </c>
    </row>
    <row r="293" ht="15.75" customHeight="1">
      <c r="A293" s="39" t="str">
        <f>IF(289&lt;='月度總覽'!$F$5,'月度總覽'!$B$5+289-1,"")</f>
        <v/>
      </c>
      <c r="B293" t="str">
        <f t="shared" si="1"/>
        <v/>
      </c>
      <c r="C293" t="str">
        <f>IF(A293="","",IF(A293&lt;'月度總覽'!$F$6,"已過",IF(A293='月度總覽'!$F$6,"基準日","未來")))</f>
        <v/>
      </c>
      <c r="D293" s="40" t="str">
        <f>IF(A293="","",IF(A293='月度總覽'!$B$8,'月度總覽'!$B$9,0))</f>
        <v/>
      </c>
      <c r="E293" s="40" t="str">
        <f>IF(A293="","",SUMIFS('收支明細'!$E:$E,'收支明細'!$B:$B,"收入",'收支明細'!$A:$A,A293))</f>
        <v/>
      </c>
      <c r="F293" s="40" t="str">
        <f>IF(A293="","",SUMIFS('固定支出'!$C:$C,'固定支出'!$G:$G,"是",'固定支出'!$D:$D,A293))</f>
        <v/>
      </c>
      <c r="G293" s="40" t="str">
        <f>IF(A293="","",SUMIFS('收支明細'!$E:$E,'收支明細'!$B:$B,"支出",'收支明細'!$A:$A,A293))</f>
        <v/>
      </c>
      <c r="H293" s="40" t="str">
        <f>IF(OR(A293="",A293&lt;'月度總覽'!$F$6),0,'月度總覽'!$F$13)</f>
        <v>0.00</v>
      </c>
      <c r="I293" s="40" t="str">
        <f t="shared" si="2"/>
        <v/>
      </c>
      <c r="J293" s="40" t="str">
        <f>IF(OR(A293="",A293&lt;'月度總覽'!$F$6),"",'月度總覽'!$F$12-SUM($H$5:H293)+IF(AND('月度總覽'!$B$10="到帳日自動計入",'月度總覽'!$B$8&gt;'月度總覽'!$B$7,'月度總覽'!$B$8&lt;=A293),'月度總覽'!$B$9,0)+SUMIFS($E$5:E293,$A$5:A293,"&gt;"&amp;'月度總覽'!$B$7)-SUMIFS($G$5:G293,$A$5:A293,"&gt;"&amp;'月度總覽'!$B$7))</f>
        <v/>
      </c>
    </row>
    <row r="294" ht="15.75" customHeight="1">
      <c r="A294" s="39" t="str">
        <f>IF(290&lt;='月度總覽'!$F$5,'月度總覽'!$B$5+290-1,"")</f>
        <v/>
      </c>
      <c r="B294" t="str">
        <f t="shared" si="1"/>
        <v/>
      </c>
      <c r="C294" t="str">
        <f>IF(A294="","",IF(A294&lt;'月度總覽'!$F$6,"已過",IF(A294='月度總覽'!$F$6,"基準日","未來")))</f>
        <v/>
      </c>
      <c r="D294" s="40" t="str">
        <f>IF(A294="","",IF(A294='月度總覽'!$B$8,'月度總覽'!$B$9,0))</f>
        <v/>
      </c>
      <c r="E294" s="40" t="str">
        <f>IF(A294="","",SUMIFS('收支明細'!$E:$E,'收支明細'!$B:$B,"收入",'收支明細'!$A:$A,A294))</f>
        <v/>
      </c>
      <c r="F294" s="40" t="str">
        <f>IF(A294="","",SUMIFS('固定支出'!$C:$C,'固定支出'!$G:$G,"是",'固定支出'!$D:$D,A294))</f>
        <v/>
      </c>
      <c r="G294" s="40" t="str">
        <f>IF(A294="","",SUMIFS('收支明細'!$E:$E,'收支明細'!$B:$B,"支出",'收支明細'!$A:$A,A294))</f>
        <v/>
      </c>
      <c r="H294" s="40" t="str">
        <f>IF(OR(A294="",A294&lt;'月度總覽'!$F$6),0,'月度總覽'!$F$13)</f>
        <v>0.00</v>
      </c>
      <c r="I294" s="40" t="str">
        <f t="shared" si="2"/>
        <v/>
      </c>
      <c r="J294" s="40" t="str">
        <f>IF(OR(A294="",A294&lt;'月度總覽'!$F$6),"",'月度總覽'!$F$12-SUM($H$5:H294)+IF(AND('月度總覽'!$B$10="到帳日自動計入",'月度總覽'!$B$8&gt;'月度總覽'!$B$7,'月度總覽'!$B$8&lt;=A294),'月度總覽'!$B$9,0)+SUMIFS($E$5:E294,$A$5:A294,"&gt;"&amp;'月度總覽'!$B$7)-SUMIFS($G$5:G294,$A$5:A294,"&gt;"&amp;'月度總覽'!$B$7))</f>
        <v/>
      </c>
    </row>
    <row r="295" ht="15.75" customHeight="1">
      <c r="A295" s="39" t="str">
        <f>IF(291&lt;='月度總覽'!$F$5,'月度總覽'!$B$5+291-1,"")</f>
        <v/>
      </c>
      <c r="B295" t="str">
        <f t="shared" si="1"/>
        <v/>
      </c>
      <c r="C295" t="str">
        <f>IF(A295="","",IF(A295&lt;'月度總覽'!$F$6,"已過",IF(A295='月度總覽'!$F$6,"基準日","未來")))</f>
        <v/>
      </c>
      <c r="D295" s="40" t="str">
        <f>IF(A295="","",IF(A295='月度總覽'!$B$8,'月度總覽'!$B$9,0))</f>
        <v/>
      </c>
      <c r="E295" s="40" t="str">
        <f>IF(A295="","",SUMIFS('收支明細'!$E:$E,'收支明細'!$B:$B,"收入",'收支明細'!$A:$A,A295))</f>
        <v/>
      </c>
      <c r="F295" s="40" t="str">
        <f>IF(A295="","",SUMIFS('固定支出'!$C:$C,'固定支出'!$G:$G,"是",'固定支出'!$D:$D,A295))</f>
        <v/>
      </c>
      <c r="G295" s="40" t="str">
        <f>IF(A295="","",SUMIFS('收支明細'!$E:$E,'收支明細'!$B:$B,"支出",'收支明細'!$A:$A,A295))</f>
        <v/>
      </c>
      <c r="H295" s="40" t="str">
        <f>IF(OR(A295="",A295&lt;'月度總覽'!$F$6),0,'月度總覽'!$F$13)</f>
        <v>0.00</v>
      </c>
      <c r="I295" s="40" t="str">
        <f t="shared" si="2"/>
        <v/>
      </c>
      <c r="J295" s="40" t="str">
        <f>IF(OR(A295="",A295&lt;'月度總覽'!$F$6),"",'月度總覽'!$F$12-SUM($H$5:H295)+IF(AND('月度總覽'!$B$10="到帳日自動計入",'月度總覽'!$B$8&gt;'月度總覽'!$B$7,'月度總覽'!$B$8&lt;=A295),'月度總覽'!$B$9,0)+SUMIFS($E$5:E295,$A$5:A295,"&gt;"&amp;'月度總覽'!$B$7)-SUMIFS($G$5:G295,$A$5:A295,"&gt;"&amp;'月度總覽'!$B$7))</f>
        <v/>
      </c>
    </row>
    <row r="296" ht="15.75" customHeight="1">
      <c r="A296" s="39" t="str">
        <f>IF(292&lt;='月度總覽'!$F$5,'月度總覽'!$B$5+292-1,"")</f>
        <v/>
      </c>
      <c r="B296" t="str">
        <f t="shared" si="1"/>
        <v/>
      </c>
      <c r="C296" t="str">
        <f>IF(A296="","",IF(A296&lt;'月度總覽'!$F$6,"已過",IF(A296='月度總覽'!$F$6,"基準日","未來")))</f>
        <v/>
      </c>
      <c r="D296" s="40" t="str">
        <f>IF(A296="","",IF(A296='月度總覽'!$B$8,'月度總覽'!$B$9,0))</f>
        <v/>
      </c>
      <c r="E296" s="40" t="str">
        <f>IF(A296="","",SUMIFS('收支明細'!$E:$E,'收支明細'!$B:$B,"收入",'收支明細'!$A:$A,A296))</f>
        <v/>
      </c>
      <c r="F296" s="40" t="str">
        <f>IF(A296="","",SUMIFS('固定支出'!$C:$C,'固定支出'!$G:$G,"是",'固定支出'!$D:$D,A296))</f>
        <v/>
      </c>
      <c r="G296" s="40" t="str">
        <f>IF(A296="","",SUMIFS('收支明細'!$E:$E,'收支明細'!$B:$B,"支出",'收支明細'!$A:$A,A296))</f>
        <v/>
      </c>
      <c r="H296" s="40" t="str">
        <f>IF(OR(A296="",A296&lt;'月度總覽'!$F$6),0,'月度總覽'!$F$13)</f>
        <v>0.00</v>
      </c>
      <c r="I296" s="40" t="str">
        <f t="shared" si="2"/>
        <v/>
      </c>
      <c r="J296" s="40" t="str">
        <f>IF(OR(A296="",A296&lt;'月度總覽'!$F$6),"",'月度總覽'!$F$12-SUM($H$5:H296)+IF(AND('月度總覽'!$B$10="到帳日自動計入",'月度總覽'!$B$8&gt;'月度總覽'!$B$7,'月度總覽'!$B$8&lt;=A296),'月度總覽'!$B$9,0)+SUMIFS($E$5:E296,$A$5:A296,"&gt;"&amp;'月度總覽'!$B$7)-SUMIFS($G$5:G296,$A$5:A296,"&gt;"&amp;'月度總覽'!$B$7))</f>
        <v/>
      </c>
    </row>
    <row r="297" ht="15.75" customHeight="1">
      <c r="A297" s="39" t="str">
        <f>IF(293&lt;='月度總覽'!$F$5,'月度總覽'!$B$5+293-1,"")</f>
        <v/>
      </c>
      <c r="B297" t="str">
        <f t="shared" si="1"/>
        <v/>
      </c>
      <c r="C297" t="str">
        <f>IF(A297="","",IF(A297&lt;'月度總覽'!$F$6,"已過",IF(A297='月度總覽'!$F$6,"基準日","未來")))</f>
        <v/>
      </c>
      <c r="D297" s="40" t="str">
        <f>IF(A297="","",IF(A297='月度總覽'!$B$8,'月度總覽'!$B$9,0))</f>
        <v/>
      </c>
      <c r="E297" s="40" t="str">
        <f>IF(A297="","",SUMIFS('收支明細'!$E:$E,'收支明細'!$B:$B,"收入",'收支明細'!$A:$A,A297))</f>
        <v/>
      </c>
      <c r="F297" s="40" t="str">
        <f>IF(A297="","",SUMIFS('固定支出'!$C:$C,'固定支出'!$G:$G,"是",'固定支出'!$D:$D,A297))</f>
        <v/>
      </c>
      <c r="G297" s="40" t="str">
        <f>IF(A297="","",SUMIFS('收支明細'!$E:$E,'收支明細'!$B:$B,"支出",'收支明細'!$A:$A,A297))</f>
        <v/>
      </c>
      <c r="H297" s="40" t="str">
        <f>IF(OR(A297="",A297&lt;'月度總覽'!$F$6),0,'月度總覽'!$F$13)</f>
        <v>0.00</v>
      </c>
      <c r="I297" s="40" t="str">
        <f t="shared" si="2"/>
        <v/>
      </c>
      <c r="J297" s="40" t="str">
        <f>IF(OR(A297="",A297&lt;'月度總覽'!$F$6),"",'月度總覽'!$F$12-SUM($H$5:H297)+IF(AND('月度總覽'!$B$10="到帳日自動計入",'月度總覽'!$B$8&gt;'月度總覽'!$B$7,'月度總覽'!$B$8&lt;=A297),'月度總覽'!$B$9,0)+SUMIFS($E$5:E297,$A$5:A297,"&gt;"&amp;'月度總覽'!$B$7)-SUMIFS($G$5:G297,$A$5:A297,"&gt;"&amp;'月度總覽'!$B$7))</f>
        <v/>
      </c>
    </row>
    <row r="298" ht="15.75" customHeight="1">
      <c r="A298" s="39" t="str">
        <f>IF(294&lt;='月度總覽'!$F$5,'月度總覽'!$B$5+294-1,"")</f>
        <v/>
      </c>
      <c r="B298" t="str">
        <f t="shared" si="1"/>
        <v/>
      </c>
      <c r="C298" t="str">
        <f>IF(A298="","",IF(A298&lt;'月度總覽'!$F$6,"已過",IF(A298='月度總覽'!$F$6,"基準日","未來")))</f>
        <v/>
      </c>
      <c r="D298" s="40" t="str">
        <f>IF(A298="","",IF(A298='月度總覽'!$B$8,'月度總覽'!$B$9,0))</f>
        <v/>
      </c>
      <c r="E298" s="40" t="str">
        <f>IF(A298="","",SUMIFS('收支明細'!$E:$E,'收支明細'!$B:$B,"收入",'收支明細'!$A:$A,A298))</f>
        <v/>
      </c>
      <c r="F298" s="40" t="str">
        <f>IF(A298="","",SUMIFS('固定支出'!$C:$C,'固定支出'!$G:$G,"是",'固定支出'!$D:$D,A298))</f>
        <v/>
      </c>
      <c r="G298" s="40" t="str">
        <f>IF(A298="","",SUMIFS('收支明細'!$E:$E,'收支明細'!$B:$B,"支出",'收支明細'!$A:$A,A298))</f>
        <v/>
      </c>
      <c r="H298" s="40" t="str">
        <f>IF(OR(A298="",A298&lt;'月度總覽'!$F$6),0,'月度總覽'!$F$13)</f>
        <v>0.00</v>
      </c>
      <c r="I298" s="40" t="str">
        <f t="shared" si="2"/>
        <v/>
      </c>
      <c r="J298" s="40" t="str">
        <f>IF(OR(A298="",A298&lt;'月度總覽'!$F$6),"",'月度總覽'!$F$12-SUM($H$5:H298)+IF(AND('月度總覽'!$B$10="到帳日自動計入",'月度總覽'!$B$8&gt;'月度總覽'!$B$7,'月度總覽'!$B$8&lt;=A298),'月度總覽'!$B$9,0)+SUMIFS($E$5:E298,$A$5:A298,"&gt;"&amp;'月度總覽'!$B$7)-SUMIFS($G$5:G298,$A$5:A298,"&gt;"&amp;'月度總覽'!$B$7))</f>
        <v/>
      </c>
    </row>
    <row r="299" ht="15.75" customHeight="1">
      <c r="A299" s="39" t="str">
        <f>IF(295&lt;='月度總覽'!$F$5,'月度總覽'!$B$5+295-1,"")</f>
        <v/>
      </c>
      <c r="B299" t="str">
        <f t="shared" si="1"/>
        <v/>
      </c>
      <c r="C299" t="str">
        <f>IF(A299="","",IF(A299&lt;'月度總覽'!$F$6,"已過",IF(A299='月度總覽'!$F$6,"基準日","未來")))</f>
        <v/>
      </c>
      <c r="D299" s="40" t="str">
        <f>IF(A299="","",IF(A299='月度總覽'!$B$8,'月度總覽'!$B$9,0))</f>
        <v/>
      </c>
      <c r="E299" s="40" t="str">
        <f>IF(A299="","",SUMIFS('收支明細'!$E:$E,'收支明細'!$B:$B,"收入",'收支明細'!$A:$A,A299))</f>
        <v/>
      </c>
      <c r="F299" s="40" t="str">
        <f>IF(A299="","",SUMIFS('固定支出'!$C:$C,'固定支出'!$G:$G,"是",'固定支出'!$D:$D,A299))</f>
        <v/>
      </c>
      <c r="G299" s="40" t="str">
        <f>IF(A299="","",SUMIFS('收支明細'!$E:$E,'收支明細'!$B:$B,"支出",'收支明細'!$A:$A,A299))</f>
        <v/>
      </c>
      <c r="H299" s="40" t="str">
        <f>IF(OR(A299="",A299&lt;'月度總覽'!$F$6),0,'月度總覽'!$F$13)</f>
        <v>0.00</v>
      </c>
      <c r="I299" s="40" t="str">
        <f t="shared" si="2"/>
        <v/>
      </c>
      <c r="J299" s="40" t="str">
        <f>IF(OR(A299="",A299&lt;'月度總覽'!$F$6),"",'月度總覽'!$F$12-SUM($H$5:H299)+IF(AND('月度總覽'!$B$10="到帳日自動計入",'月度總覽'!$B$8&gt;'月度總覽'!$B$7,'月度總覽'!$B$8&lt;=A299),'月度總覽'!$B$9,0)+SUMIFS($E$5:E299,$A$5:A299,"&gt;"&amp;'月度總覽'!$B$7)-SUMIFS($G$5:G299,$A$5:A299,"&gt;"&amp;'月度總覽'!$B$7))</f>
        <v/>
      </c>
    </row>
    <row r="300" ht="15.75" customHeight="1">
      <c r="A300" s="39" t="str">
        <f>IF(296&lt;='月度總覽'!$F$5,'月度總覽'!$B$5+296-1,"")</f>
        <v/>
      </c>
      <c r="B300" t="str">
        <f t="shared" si="1"/>
        <v/>
      </c>
      <c r="C300" t="str">
        <f>IF(A300="","",IF(A300&lt;'月度總覽'!$F$6,"已過",IF(A300='月度總覽'!$F$6,"基準日","未來")))</f>
        <v/>
      </c>
      <c r="D300" s="40" t="str">
        <f>IF(A300="","",IF(A300='月度總覽'!$B$8,'月度總覽'!$B$9,0))</f>
        <v/>
      </c>
      <c r="E300" s="40" t="str">
        <f>IF(A300="","",SUMIFS('收支明細'!$E:$E,'收支明細'!$B:$B,"收入",'收支明細'!$A:$A,A300))</f>
        <v/>
      </c>
      <c r="F300" s="40" t="str">
        <f>IF(A300="","",SUMIFS('固定支出'!$C:$C,'固定支出'!$G:$G,"是",'固定支出'!$D:$D,A300))</f>
        <v/>
      </c>
      <c r="G300" s="40" t="str">
        <f>IF(A300="","",SUMIFS('收支明細'!$E:$E,'收支明細'!$B:$B,"支出",'收支明細'!$A:$A,A300))</f>
        <v/>
      </c>
      <c r="H300" s="40" t="str">
        <f>IF(OR(A300="",A300&lt;'月度總覽'!$F$6),0,'月度總覽'!$F$13)</f>
        <v>0.00</v>
      </c>
      <c r="I300" s="40" t="str">
        <f t="shared" si="2"/>
        <v/>
      </c>
      <c r="J300" s="40" t="str">
        <f>IF(OR(A300="",A300&lt;'月度總覽'!$F$6),"",'月度總覽'!$F$12-SUM($H$5:H300)+IF(AND('月度總覽'!$B$10="到帳日自動計入",'月度總覽'!$B$8&gt;'月度總覽'!$B$7,'月度總覽'!$B$8&lt;=A300),'月度總覽'!$B$9,0)+SUMIFS($E$5:E300,$A$5:A300,"&gt;"&amp;'月度總覽'!$B$7)-SUMIFS($G$5:G300,$A$5:A300,"&gt;"&amp;'月度總覽'!$B$7))</f>
        <v/>
      </c>
    </row>
    <row r="301" ht="15.75" customHeight="1">
      <c r="A301" s="39" t="str">
        <f>IF(297&lt;='月度總覽'!$F$5,'月度總覽'!$B$5+297-1,"")</f>
        <v/>
      </c>
      <c r="B301" t="str">
        <f t="shared" si="1"/>
        <v/>
      </c>
      <c r="C301" t="str">
        <f>IF(A301="","",IF(A301&lt;'月度總覽'!$F$6,"已過",IF(A301='月度總覽'!$F$6,"基準日","未來")))</f>
        <v/>
      </c>
      <c r="D301" s="40" t="str">
        <f>IF(A301="","",IF(A301='月度總覽'!$B$8,'月度總覽'!$B$9,0))</f>
        <v/>
      </c>
      <c r="E301" s="40" t="str">
        <f>IF(A301="","",SUMIFS('收支明細'!$E:$E,'收支明細'!$B:$B,"收入",'收支明細'!$A:$A,A301))</f>
        <v/>
      </c>
      <c r="F301" s="40" t="str">
        <f>IF(A301="","",SUMIFS('固定支出'!$C:$C,'固定支出'!$G:$G,"是",'固定支出'!$D:$D,A301))</f>
        <v/>
      </c>
      <c r="G301" s="40" t="str">
        <f>IF(A301="","",SUMIFS('收支明細'!$E:$E,'收支明細'!$B:$B,"支出",'收支明細'!$A:$A,A301))</f>
        <v/>
      </c>
      <c r="H301" s="40" t="str">
        <f>IF(OR(A301="",A301&lt;'月度總覽'!$F$6),0,'月度總覽'!$F$13)</f>
        <v>0.00</v>
      </c>
      <c r="I301" s="40" t="str">
        <f t="shared" si="2"/>
        <v/>
      </c>
      <c r="J301" s="40" t="str">
        <f>IF(OR(A301="",A301&lt;'月度總覽'!$F$6),"",'月度總覽'!$F$12-SUM($H$5:H301)+IF(AND('月度總覽'!$B$10="到帳日自動計入",'月度總覽'!$B$8&gt;'月度總覽'!$B$7,'月度總覽'!$B$8&lt;=A301),'月度總覽'!$B$9,0)+SUMIFS($E$5:E301,$A$5:A301,"&gt;"&amp;'月度總覽'!$B$7)-SUMIFS($G$5:G301,$A$5:A301,"&gt;"&amp;'月度總覽'!$B$7))</f>
        <v/>
      </c>
    </row>
    <row r="302" ht="15.75" customHeight="1">
      <c r="A302" s="39" t="str">
        <f>IF(298&lt;='月度總覽'!$F$5,'月度總覽'!$B$5+298-1,"")</f>
        <v/>
      </c>
      <c r="B302" t="str">
        <f t="shared" si="1"/>
        <v/>
      </c>
      <c r="C302" t="str">
        <f>IF(A302="","",IF(A302&lt;'月度總覽'!$F$6,"已過",IF(A302='月度總覽'!$F$6,"基準日","未來")))</f>
        <v/>
      </c>
      <c r="D302" s="40" t="str">
        <f>IF(A302="","",IF(A302='月度總覽'!$B$8,'月度總覽'!$B$9,0))</f>
        <v/>
      </c>
      <c r="E302" s="40" t="str">
        <f>IF(A302="","",SUMIFS('收支明細'!$E:$E,'收支明細'!$B:$B,"收入",'收支明細'!$A:$A,A302))</f>
        <v/>
      </c>
      <c r="F302" s="40" t="str">
        <f>IF(A302="","",SUMIFS('固定支出'!$C:$C,'固定支出'!$G:$G,"是",'固定支出'!$D:$D,A302))</f>
        <v/>
      </c>
      <c r="G302" s="40" t="str">
        <f>IF(A302="","",SUMIFS('收支明細'!$E:$E,'收支明細'!$B:$B,"支出",'收支明細'!$A:$A,A302))</f>
        <v/>
      </c>
      <c r="H302" s="40" t="str">
        <f>IF(OR(A302="",A302&lt;'月度總覽'!$F$6),0,'月度總覽'!$F$13)</f>
        <v>0.00</v>
      </c>
      <c r="I302" s="40" t="str">
        <f t="shared" si="2"/>
        <v/>
      </c>
      <c r="J302" s="40" t="str">
        <f>IF(OR(A302="",A302&lt;'月度總覽'!$F$6),"",'月度總覽'!$F$12-SUM($H$5:H302)+IF(AND('月度總覽'!$B$10="到帳日自動計入",'月度總覽'!$B$8&gt;'月度總覽'!$B$7,'月度總覽'!$B$8&lt;=A302),'月度總覽'!$B$9,0)+SUMIFS($E$5:E302,$A$5:A302,"&gt;"&amp;'月度總覽'!$B$7)-SUMIFS($G$5:G302,$A$5:A302,"&gt;"&amp;'月度總覽'!$B$7))</f>
        <v/>
      </c>
    </row>
    <row r="303" ht="15.75" customHeight="1">
      <c r="A303" s="39" t="str">
        <f>IF(299&lt;='月度總覽'!$F$5,'月度總覽'!$B$5+299-1,"")</f>
        <v/>
      </c>
      <c r="B303" t="str">
        <f t="shared" si="1"/>
        <v/>
      </c>
      <c r="C303" t="str">
        <f>IF(A303="","",IF(A303&lt;'月度總覽'!$F$6,"已過",IF(A303='月度總覽'!$F$6,"基準日","未來")))</f>
        <v/>
      </c>
      <c r="D303" s="40" t="str">
        <f>IF(A303="","",IF(A303='月度總覽'!$B$8,'月度總覽'!$B$9,0))</f>
        <v/>
      </c>
      <c r="E303" s="40" t="str">
        <f>IF(A303="","",SUMIFS('收支明細'!$E:$E,'收支明細'!$B:$B,"收入",'收支明細'!$A:$A,A303))</f>
        <v/>
      </c>
      <c r="F303" s="40" t="str">
        <f>IF(A303="","",SUMIFS('固定支出'!$C:$C,'固定支出'!$G:$G,"是",'固定支出'!$D:$D,A303))</f>
        <v/>
      </c>
      <c r="G303" s="40" t="str">
        <f>IF(A303="","",SUMIFS('收支明細'!$E:$E,'收支明細'!$B:$B,"支出",'收支明細'!$A:$A,A303))</f>
        <v/>
      </c>
      <c r="H303" s="40" t="str">
        <f>IF(OR(A303="",A303&lt;'月度總覽'!$F$6),0,'月度總覽'!$F$13)</f>
        <v>0.00</v>
      </c>
      <c r="I303" s="40" t="str">
        <f t="shared" si="2"/>
        <v/>
      </c>
      <c r="J303" s="40" t="str">
        <f>IF(OR(A303="",A303&lt;'月度總覽'!$F$6),"",'月度總覽'!$F$12-SUM($H$5:H303)+IF(AND('月度總覽'!$B$10="到帳日自動計入",'月度總覽'!$B$8&gt;'月度總覽'!$B$7,'月度總覽'!$B$8&lt;=A303),'月度總覽'!$B$9,0)+SUMIFS($E$5:E303,$A$5:A303,"&gt;"&amp;'月度總覽'!$B$7)-SUMIFS($G$5:G303,$A$5:A303,"&gt;"&amp;'月度總覽'!$B$7))</f>
        <v/>
      </c>
    </row>
    <row r="304" ht="15.75" customHeight="1">
      <c r="A304" s="39" t="str">
        <f>IF(300&lt;='月度總覽'!$F$5,'月度總覽'!$B$5+300-1,"")</f>
        <v/>
      </c>
      <c r="B304" t="str">
        <f t="shared" si="1"/>
        <v/>
      </c>
      <c r="C304" t="str">
        <f>IF(A304="","",IF(A304&lt;'月度總覽'!$F$6,"已過",IF(A304='月度總覽'!$F$6,"基準日","未來")))</f>
        <v/>
      </c>
      <c r="D304" s="40" t="str">
        <f>IF(A304="","",IF(A304='月度總覽'!$B$8,'月度總覽'!$B$9,0))</f>
        <v/>
      </c>
      <c r="E304" s="40" t="str">
        <f>IF(A304="","",SUMIFS('收支明細'!$E:$E,'收支明細'!$B:$B,"收入",'收支明細'!$A:$A,A304))</f>
        <v/>
      </c>
      <c r="F304" s="40" t="str">
        <f>IF(A304="","",SUMIFS('固定支出'!$C:$C,'固定支出'!$G:$G,"是",'固定支出'!$D:$D,A304))</f>
        <v/>
      </c>
      <c r="G304" s="40" t="str">
        <f>IF(A304="","",SUMIFS('收支明細'!$E:$E,'收支明細'!$B:$B,"支出",'收支明細'!$A:$A,A304))</f>
        <v/>
      </c>
      <c r="H304" s="40" t="str">
        <f>IF(OR(A304="",A304&lt;'月度總覽'!$F$6),0,'月度總覽'!$F$13)</f>
        <v>0.00</v>
      </c>
      <c r="I304" s="40" t="str">
        <f t="shared" si="2"/>
        <v/>
      </c>
      <c r="J304" s="40" t="str">
        <f>IF(OR(A304="",A304&lt;'月度總覽'!$F$6),"",'月度總覽'!$F$12-SUM($H$5:H304)+IF(AND('月度總覽'!$B$10="到帳日自動計入",'月度總覽'!$B$8&gt;'月度總覽'!$B$7,'月度總覽'!$B$8&lt;=A304),'月度總覽'!$B$9,0)+SUMIFS($E$5:E304,$A$5:A304,"&gt;"&amp;'月度總覽'!$B$7)-SUMIFS($G$5:G304,$A$5:A304,"&gt;"&amp;'月度總覽'!$B$7))</f>
        <v/>
      </c>
    </row>
    <row r="305" ht="15.75" customHeight="1">
      <c r="A305" s="39" t="str">
        <f>IF(301&lt;='月度總覽'!$F$5,'月度總覽'!$B$5+301-1,"")</f>
        <v/>
      </c>
      <c r="B305" t="str">
        <f t="shared" si="1"/>
        <v/>
      </c>
      <c r="C305" t="str">
        <f>IF(A305="","",IF(A305&lt;'月度總覽'!$F$6,"已過",IF(A305='月度總覽'!$F$6,"基準日","未來")))</f>
        <v/>
      </c>
      <c r="D305" s="40" t="str">
        <f>IF(A305="","",IF(A305='月度總覽'!$B$8,'月度總覽'!$B$9,0))</f>
        <v/>
      </c>
      <c r="E305" s="40" t="str">
        <f>IF(A305="","",SUMIFS('收支明細'!$E:$E,'收支明細'!$B:$B,"收入",'收支明細'!$A:$A,A305))</f>
        <v/>
      </c>
      <c r="F305" s="40" t="str">
        <f>IF(A305="","",SUMIFS('固定支出'!$C:$C,'固定支出'!$G:$G,"是",'固定支出'!$D:$D,A305))</f>
        <v/>
      </c>
      <c r="G305" s="40" t="str">
        <f>IF(A305="","",SUMIFS('收支明細'!$E:$E,'收支明細'!$B:$B,"支出",'收支明細'!$A:$A,A305))</f>
        <v/>
      </c>
      <c r="H305" s="40" t="str">
        <f>IF(OR(A305="",A305&lt;'月度總覽'!$F$6),0,'月度總覽'!$F$13)</f>
        <v>0.00</v>
      </c>
      <c r="I305" s="40" t="str">
        <f t="shared" si="2"/>
        <v/>
      </c>
      <c r="J305" s="40" t="str">
        <f>IF(OR(A305="",A305&lt;'月度總覽'!$F$6),"",'月度總覽'!$F$12-SUM($H$5:H305)+IF(AND('月度總覽'!$B$10="到帳日自動計入",'月度總覽'!$B$8&gt;'月度總覽'!$B$7,'月度總覽'!$B$8&lt;=A305),'月度總覽'!$B$9,0)+SUMIFS($E$5:E305,$A$5:A305,"&gt;"&amp;'月度總覽'!$B$7)-SUMIFS($G$5:G305,$A$5:A305,"&gt;"&amp;'月度總覽'!$B$7))</f>
        <v/>
      </c>
    </row>
    <row r="306" ht="15.75" customHeight="1">
      <c r="A306" s="39" t="str">
        <f>IF(302&lt;='月度總覽'!$F$5,'月度總覽'!$B$5+302-1,"")</f>
        <v/>
      </c>
      <c r="B306" t="str">
        <f t="shared" si="1"/>
        <v/>
      </c>
      <c r="C306" t="str">
        <f>IF(A306="","",IF(A306&lt;'月度總覽'!$F$6,"已過",IF(A306='月度總覽'!$F$6,"基準日","未來")))</f>
        <v/>
      </c>
      <c r="D306" s="40" t="str">
        <f>IF(A306="","",IF(A306='月度總覽'!$B$8,'月度總覽'!$B$9,0))</f>
        <v/>
      </c>
      <c r="E306" s="40" t="str">
        <f>IF(A306="","",SUMIFS('收支明細'!$E:$E,'收支明細'!$B:$B,"收入",'收支明細'!$A:$A,A306))</f>
        <v/>
      </c>
      <c r="F306" s="40" t="str">
        <f>IF(A306="","",SUMIFS('固定支出'!$C:$C,'固定支出'!$G:$G,"是",'固定支出'!$D:$D,A306))</f>
        <v/>
      </c>
      <c r="G306" s="40" t="str">
        <f>IF(A306="","",SUMIFS('收支明細'!$E:$E,'收支明細'!$B:$B,"支出",'收支明細'!$A:$A,A306))</f>
        <v/>
      </c>
      <c r="H306" s="40" t="str">
        <f>IF(OR(A306="",A306&lt;'月度總覽'!$F$6),0,'月度總覽'!$F$13)</f>
        <v>0.00</v>
      </c>
      <c r="I306" s="40" t="str">
        <f t="shared" si="2"/>
        <v/>
      </c>
      <c r="J306" s="40" t="str">
        <f>IF(OR(A306="",A306&lt;'月度總覽'!$F$6),"",'月度總覽'!$F$12-SUM($H$5:H306)+IF(AND('月度總覽'!$B$10="到帳日自動計入",'月度總覽'!$B$8&gt;'月度總覽'!$B$7,'月度總覽'!$B$8&lt;=A306),'月度總覽'!$B$9,0)+SUMIFS($E$5:E306,$A$5:A306,"&gt;"&amp;'月度總覽'!$B$7)-SUMIFS($G$5:G306,$A$5:A306,"&gt;"&amp;'月度總覽'!$B$7))</f>
        <v/>
      </c>
    </row>
    <row r="307" ht="15.75" customHeight="1">
      <c r="A307" s="39" t="str">
        <f>IF(303&lt;='月度總覽'!$F$5,'月度總覽'!$B$5+303-1,"")</f>
        <v/>
      </c>
      <c r="B307" t="str">
        <f t="shared" si="1"/>
        <v/>
      </c>
      <c r="C307" t="str">
        <f>IF(A307="","",IF(A307&lt;'月度總覽'!$F$6,"已過",IF(A307='月度總覽'!$F$6,"基準日","未來")))</f>
        <v/>
      </c>
      <c r="D307" s="40" t="str">
        <f>IF(A307="","",IF(A307='月度總覽'!$B$8,'月度總覽'!$B$9,0))</f>
        <v/>
      </c>
      <c r="E307" s="40" t="str">
        <f>IF(A307="","",SUMIFS('收支明細'!$E:$E,'收支明細'!$B:$B,"收入",'收支明細'!$A:$A,A307))</f>
        <v/>
      </c>
      <c r="F307" s="40" t="str">
        <f>IF(A307="","",SUMIFS('固定支出'!$C:$C,'固定支出'!$G:$G,"是",'固定支出'!$D:$D,A307))</f>
        <v/>
      </c>
      <c r="G307" s="40" t="str">
        <f>IF(A307="","",SUMIFS('收支明細'!$E:$E,'收支明細'!$B:$B,"支出",'收支明細'!$A:$A,A307))</f>
        <v/>
      </c>
      <c r="H307" s="40" t="str">
        <f>IF(OR(A307="",A307&lt;'月度總覽'!$F$6),0,'月度總覽'!$F$13)</f>
        <v>0.00</v>
      </c>
      <c r="I307" s="40" t="str">
        <f t="shared" si="2"/>
        <v/>
      </c>
      <c r="J307" s="40" t="str">
        <f>IF(OR(A307="",A307&lt;'月度總覽'!$F$6),"",'月度總覽'!$F$12-SUM($H$5:H307)+IF(AND('月度總覽'!$B$10="到帳日自動計入",'月度總覽'!$B$8&gt;'月度總覽'!$B$7,'月度總覽'!$B$8&lt;=A307),'月度總覽'!$B$9,0)+SUMIFS($E$5:E307,$A$5:A307,"&gt;"&amp;'月度總覽'!$B$7)-SUMIFS($G$5:G307,$A$5:A307,"&gt;"&amp;'月度總覽'!$B$7))</f>
        <v/>
      </c>
    </row>
    <row r="308" ht="15.75" customHeight="1">
      <c r="A308" s="39" t="str">
        <f>IF(304&lt;='月度總覽'!$F$5,'月度總覽'!$B$5+304-1,"")</f>
        <v/>
      </c>
      <c r="B308" t="str">
        <f t="shared" si="1"/>
        <v/>
      </c>
      <c r="C308" t="str">
        <f>IF(A308="","",IF(A308&lt;'月度總覽'!$F$6,"已過",IF(A308='月度總覽'!$F$6,"基準日","未來")))</f>
        <v/>
      </c>
      <c r="D308" s="40" t="str">
        <f>IF(A308="","",IF(A308='月度總覽'!$B$8,'月度總覽'!$B$9,0))</f>
        <v/>
      </c>
      <c r="E308" s="40" t="str">
        <f>IF(A308="","",SUMIFS('收支明細'!$E:$E,'收支明細'!$B:$B,"收入",'收支明細'!$A:$A,A308))</f>
        <v/>
      </c>
      <c r="F308" s="40" t="str">
        <f>IF(A308="","",SUMIFS('固定支出'!$C:$C,'固定支出'!$G:$G,"是",'固定支出'!$D:$D,A308))</f>
        <v/>
      </c>
      <c r="G308" s="40" t="str">
        <f>IF(A308="","",SUMIFS('收支明細'!$E:$E,'收支明細'!$B:$B,"支出",'收支明細'!$A:$A,A308))</f>
        <v/>
      </c>
      <c r="H308" s="40" t="str">
        <f>IF(OR(A308="",A308&lt;'月度總覽'!$F$6),0,'月度總覽'!$F$13)</f>
        <v>0.00</v>
      </c>
      <c r="I308" s="40" t="str">
        <f t="shared" si="2"/>
        <v/>
      </c>
      <c r="J308" s="40" t="str">
        <f>IF(OR(A308="",A308&lt;'月度總覽'!$F$6),"",'月度總覽'!$F$12-SUM($H$5:H308)+IF(AND('月度總覽'!$B$10="到帳日自動計入",'月度總覽'!$B$8&gt;'月度總覽'!$B$7,'月度總覽'!$B$8&lt;=A308),'月度總覽'!$B$9,0)+SUMIFS($E$5:E308,$A$5:A308,"&gt;"&amp;'月度總覽'!$B$7)-SUMIFS($G$5:G308,$A$5:A308,"&gt;"&amp;'月度總覽'!$B$7))</f>
        <v/>
      </c>
    </row>
    <row r="309" ht="15.75" customHeight="1">
      <c r="A309" s="39" t="str">
        <f>IF(305&lt;='月度總覽'!$F$5,'月度總覽'!$B$5+305-1,"")</f>
        <v/>
      </c>
      <c r="B309" t="str">
        <f t="shared" si="1"/>
        <v/>
      </c>
      <c r="C309" t="str">
        <f>IF(A309="","",IF(A309&lt;'月度總覽'!$F$6,"已過",IF(A309='月度總覽'!$F$6,"基準日","未來")))</f>
        <v/>
      </c>
      <c r="D309" s="40" t="str">
        <f>IF(A309="","",IF(A309='月度總覽'!$B$8,'月度總覽'!$B$9,0))</f>
        <v/>
      </c>
      <c r="E309" s="40" t="str">
        <f>IF(A309="","",SUMIFS('收支明細'!$E:$E,'收支明細'!$B:$B,"收入",'收支明細'!$A:$A,A309))</f>
        <v/>
      </c>
      <c r="F309" s="40" t="str">
        <f>IF(A309="","",SUMIFS('固定支出'!$C:$C,'固定支出'!$G:$G,"是",'固定支出'!$D:$D,A309))</f>
        <v/>
      </c>
      <c r="G309" s="40" t="str">
        <f>IF(A309="","",SUMIFS('收支明細'!$E:$E,'收支明細'!$B:$B,"支出",'收支明細'!$A:$A,A309))</f>
        <v/>
      </c>
      <c r="H309" s="40" t="str">
        <f>IF(OR(A309="",A309&lt;'月度總覽'!$F$6),0,'月度總覽'!$F$13)</f>
        <v>0.00</v>
      </c>
      <c r="I309" s="40" t="str">
        <f t="shared" si="2"/>
        <v/>
      </c>
      <c r="J309" s="40" t="str">
        <f>IF(OR(A309="",A309&lt;'月度總覽'!$F$6),"",'月度總覽'!$F$12-SUM($H$5:H309)+IF(AND('月度總覽'!$B$10="到帳日自動計入",'月度總覽'!$B$8&gt;'月度總覽'!$B$7,'月度總覽'!$B$8&lt;=A309),'月度總覽'!$B$9,0)+SUMIFS($E$5:E309,$A$5:A309,"&gt;"&amp;'月度總覽'!$B$7)-SUMIFS($G$5:G309,$A$5:A309,"&gt;"&amp;'月度總覽'!$B$7))</f>
        <v/>
      </c>
    </row>
    <row r="310" ht="15.75" customHeight="1">
      <c r="A310" s="39" t="str">
        <f>IF(306&lt;='月度總覽'!$F$5,'月度總覽'!$B$5+306-1,"")</f>
        <v/>
      </c>
      <c r="B310" t="str">
        <f t="shared" si="1"/>
        <v/>
      </c>
      <c r="C310" t="str">
        <f>IF(A310="","",IF(A310&lt;'月度總覽'!$F$6,"已過",IF(A310='月度總覽'!$F$6,"基準日","未來")))</f>
        <v/>
      </c>
      <c r="D310" s="40" t="str">
        <f>IF(A310="","",IF(A310='月度總覽'!$B$8,'月度總覽'!$B$9,0))</f>
        <v/>
      </c>
      <c r="E310" s="40" t="str">
        <f>IF(A310="","",SUMIFS('收支明細'!$E:$E,'收支明細'!$B:$B,"收入",'收支明細'!$A:$A,A310))</f>
        <v/>
      </c>
      <c r="F310" s="40" t="str">
        <f>IF(A310="","",SUMIFS('固定支出'!$C:$C,'固定支出'!$G:$G,"是",'固定支出'!$D:$D,A310))</f>
        <v/>
      </c>
      <c r="G310" s="40" t="str">
        <f>IF(A310="","",SUMIFS('收支明細'!$E:$E,'收支明細'!$B:$B,"支出",'收支明細'!$A:$A,A310))</f>
        <v/>
      </c>
      <c r="H310" s="40" t="str">
        <f>IF(OR(A310="",A310&lt;'月度總覽'!$F$6),0,'月度總覽'!$F$13)</f>
        <v>0.00</v>
      </c>
      <c r="I310" s="40" t="str">
        <f t="shared" si="2"/>
        <v/>
      </c>
      <c r="J310" s="40" t="str">
        <f>IF(OR(A310="",A310&lt;'月度總覽'!$F$6),"",'月度總覽'!$F$12-SUM($H$5:H310)+IF(AND('月度總覽'!$B$10="到帳日自動計入",'月度總覽'!$B$8&gt;'月度總覽'!$B$7,'月度總覽'!$B$8&lt;=A310),'月度總覽'!$B$9,0)+SUMIFS($E$5:E310,$A$5:A310,"&gt;"&amp;'月度總覽'!$B$7)-SUMIFS($G$5:G310,$A$5:A310,"&gt;"&amp;'月度總覽'!$B$7))</f>
        <v/>
      </c>
    </row>
    <row r="311" ht="15.75" customHeight="1">
      <c r="A311" s="39" t="str">
        <f>IF(307&lt;='月度總覽'!$F$5,'月度總覽'!$B$5+307-1,"")</f>
        <v/>
      </c>
      <c r="B311" t="str">
        <f t="shared" si="1"/>
        <v/>
      </c>
      <c r="C311" t="str">
        <f>IF(A311="","",IF(A311&lt;'月度總覽'!$F$6,"已過",IF(A311='月度總覽'!$F$6,"基準日","未來")))</f>
        <v/>
      </c>
      <c r="D311" s="40" t="str">
        <f>IF(A311="","",IF(A311='月度總覽'!$B$8,'月度總覽'!$B$9,0))</f>
        <v/>
      </c>
      <c r="E311" s="40" t="str">
        <f>IF(A311="","",SUMIFS('收支明細'!$E:$E,'收支明細'!$B:$B,"收入",'收支明細'!$A:$A,A311))</f>
        <v/>
      </c>
      <c r="F311" s="40" t="str">
        <f>IF(A311="","",SUMIFS('固定支出'!$C:$C,'固定支出'!$G:$G,"是",'固定支出'!$D:$D,A311))</f>
        <v/>
      </c>
      <c r="G311" s="40" t="str">
        <f>IF(A311="","",SUMIFS('收支明細'!$E:$E,'收支明細'!$B:$B,"支出",'收支明細'!$A:$A,A311))</f>
        <v/>
      </c>
      <c r="H311" s="40" t="str">
        <f>IF(OR(A311="",A311&lt;'月度總覽'!$F$6),0,'月度總覽'!$F$13)</f>
        <v>0.00</v>
      </c>
      <c r="I311" s="40" t="str">
        <f t="shared" si="2"/>
        <v/>
      </c>
      <c r="J311" s="40" t="str">
        <f>IF(OR(A311="",A311&lt;'月度總覽'!$F$6),"",'月度總覽'!$F$12-SUM($H$5:H311)+IF(AND('月度總覽'!$B$10="到帳日自動計入",'月度總覽'!$B$8&gt;'月度總覽'!$B$7,'月度總覽'!$B$8&lt;=A311),'月度總覽'!$B$9,0)+SUMIFS($E$5:E311,$A$5:A311,"&gt;"&amp;'月度總覽'!$B$7)-SUMIFS($G$5:G311,$A$5:A311,"&gt;"&amp;'月度總覽'!$B$7))</f>
        <v/>
      </c>
    </row>
    <row r="312" ht="15.75" customHeight="1">
      <c r="A312" s="39" t="str">
        <f>IF(308&lt;='月度總覽'!$F$5,'月度總覽'!$B$5+308-1,"")</f>
        <v/>
      </c>
      <c r="B312" t="str">
        <f t="shared" si="1"/>
        <v/>
      </c>
      <c r="C312" t="str">
        <f>IF(A312="","",IF(A312&lt;'月度總覽'!$F$6,"已過",IF(A312='月度總覽'!$F$6,"基準日","未來")))</f>
        <v/>
      </c>
      <c r="D312" s="40" t="str">
        <f>IF(A312="","",IF(A312='月度總覽'!$B$8,'月度總覽'!$B$9,0))</f>
        <v/>
      </c>
      <c r="E312" s="40" t="str">
        <f>IF(A312="","",SUMIFS('收支明細'!$E:$E,'收支明細'!$B:$B,"收入",'收支明細'!$A:$A,A312))</f>
        <v/>
      </c>
      <c r="F312" s="40" t="str">
        <f>IF(A312="","",SUMIFS('固定支出'!$C:$C,'固定支出'!$G:$G,"是",'固定支出'!$D:$D,A312))</f>
        <v/>
      </c>
      <c r="G312" s="40" t="str">
        <f>IF(A312="","",SUMIFS('收支明細'!$E:$E,'收支明細'!$B:$B,"支出",'收支明細'!$A:$A,A312))</f>
        <v/>
      </c>
      <c r="H312" s="40" t="str">
        <f>IF(OR(A312="",A312&lt;'月度總覽'!$F$6),0,'月度總覽'!$F$13)</f>
        <v>0.00</v>
      </c>
      <c r="I312" s="40" t="str">
        <f t="shared" si="2"/>
        <v/>
      </c>
      <c r="J312" s="40" t="str">
        <f>IF(OR(A312="",A312&lt;'月度總覽'!$F$6),"",'月度總覽'!$F$12-SUM($H$5:H312)+IF(AND('月度總覽'!$B$10="到帳日自動計入",'月度總覽'!$B$8&gt;'月度總覽'!$B$7,'月度總覽'!$B$8&lt;=A312),'月度總覽'!$B$9,0)+SUMIFS($E$5:E312,$A$5:A312,"&gt;"&amp;'月度總覽'!$B$7)-SUMIFS($G$5:G312,$A$5:A312,"&gt;"&amp;'月度總覽'!$B$7))</f>
        <v/>
      </c>
    </row>
    <row r="313" ht="15.75" customHeight="1">
      <c r="A313" s="39" t="str">
        <f>IF(309&lt;='月度總覽'!$F$5,'月度總覽'!$B$5+309-1,"")</f>
        <v/>
      </c>
      <c r="B313" t="str">
        <f t="shared" si="1"/>
        <v/>
      </c>
      <c r="C313" t="str">
        <f>IF(A313="","",IF(A313&lt;'月度總覽'!$F$6,"已過",IF(A313='月度總覽'!$F$6,"基準日","未來")))</f>
        <v/>
      </c>
      <c r="D313" s="40" t="str">
        <f>IF(A313="","",IF(A313='月度總覽'!$B$8,'月度總覽'!$B$9,0))</f>
        <v/>
      </c>
      <c r="E313" s="40" t="str">
        <f>IF(A313="","",SUMIFS('收支明細'!$E:$E,'收支明細'!$B:$B,"收入",'收支明細'!$A:$A,A313))</f>
        <v/>
      </c>
      <c r="F313" s="40" t="str">
        <f>IF(A313="","",SUMIFS('固定支出'!$C:$C,'固定支出'!$G:$G,"是",'固定支出'!$D:$D,A313))</f>
        <v/>
      </c>
      <c r="G313" s="40" t="str">
        <f>IF(A313="","",SUMIFS('收支明細'!$E:$E,'收支明細'!$B:$B,"支出",'收支明細'!$A:$A,A313))</f>
        <v/>
      </c>
      <c r="H313" s="40" t="str">
        <f>IF(OR(A313="",A313&lt;'月度總覽'!$F$6),0,'月度總覽'!$F$13)</f>
        <v>0.00</v>
      </c>
      <c r="I313" s="40" t="str">
        <f t="shared" si="2"/>
        <v/>
      </c>
      <c r="J313" s="40" t="str">
        <f>IF(OR(A313="",A313&lt;'月度總覽'!$F$6),"",'月度總覽'!$F$12-SUM($H$5:H313)+IF(AND('月度總覽'!$B$10="到帳日自動計入",'月度總覽'!$B$8&gt;'月度總覽'!$B$7,'月度總覽'!$B$8&lt;=A313),'月度總覽'!$B$9,0)+SUMIFS($E$5:E313,$A$5:A313,"&gt;"&amp;'月度總覽'!$B$7)-SUMIFS($G$5:G313,$A$5:A313,"&gt;"&amp;'月度總覽'!$B$7))</f>
        <v/>
      </c>
    </row>
    <row r="314" ht="15.75" customHeight="1">
      <c r="A314" s="39" t="str">
        <f>IF(310&lt;='月度總覽'!$F$5,'月度總覽'!$B$5+310-1,"")</f>
        <v/>
      </c>
      <c r="B314" t="str">
        <f t="shared" si="1"/>
        <v/>
      </c>
      <c r="C314" t="str">
        <f>IF(A314="","",IF(A314&lt;'月度總覽'!$F$6,"已過",IF(A314='月度總覽'!$F$6,"基準日","未來")))</f>
        <v/>
      </c>
      <c r="D314" s="40" t="str">
        <f>IF(A314="","",IF(A314='月度總覽'!$B$8,'月度總覽'!$B$9,0))</f>
        <v/>
      </c>
      <c r="E314" s="40" t="str">
        <f>IF(A314="","",SUMIFS('收支明細'!$E:$E,'收支明細'!$B:$B,"收入",'收支明細'!$A:$A,A314))</f>
        <v/>
      </c>
      <c r="F314" s="40" t="str">
        <f>IF(A314="","",SUMIFS('固定支出'!$C:$C,'固定支出'!$G:$G,"是",'固定支出'!$D:$D,A314))</f>
        <v/>
      </c>
      <c r="G314" s="40" t="str">
        <f>IF(A314="","",SUMIFS('收支明細'!$E:$E,'收支明細'!$B:$B,"支出",'收支明細'!$A:$A,A314))</f>
        <v/>
      </c>
      <c r="H314" s="40" t="str">
        <f>IF(OR(A314="",A314&lt;'月度總覽'!$F$6),0,'月度總覽'!$F$13)</f>
        <v>0.00</v>
      </c>
      <c r="I314" s="40" t="str">
        <f t="shared" si="2"/>
        <v/>
      </c>
      <c r="J314" s="40" t="str">
        <f>IF(OR(A314="",A314&lt;'月度總覽'!$F$6),"",'月度總覽'!$F$12-SUM($H$5:H314)+IF(AND('月度總覽'!$B$10="到帳日自動計入",'月度總覽'!$B$8&gt;'月度總覽'!$B$7,'月度總覽'!$B$8&lt;=A314),'月度總覽'!$B$9,0)+SUMIFS($E$5:E314,$A$5:A314,"&gt;"&amp;'月度總覽'!$B$7)-SUMIFS($G$5:G314,$A$5:A314,"&gt;"&amp;'月度總覽'!$B$7))</f>
        <v/>
      </c>
    </row>
    <row r="315" ht="15.75" customHeight="1">
      <c r="A315" s="39" t="str">
        <f>IF(311&lt;='月度總覽'!$F$5,'月度總覽'!$B$5+311-1,"")</f>
        <v/>
      </c>
      <c r="B315" t="str">
        <f t="shared" si="1"/>
        <v/>
      </c>
      <c r="C315" t="str">
        <f>IF(A315="","",IF(A315&lt;'月度總覽'!$F$6,"已過",IF(A315='月度總覽'!$F$6,"基準日","未來")))</f>
        <v/>
      </c>
      <c r="D315" s="40" t="str">
        <f>IF(A315="","",IF(A315='月度總覽'!$B$8,'月度總覽'!$B$9,0))</f>
        <v/>
      </c>
      <c r="E315" s="40" t="str">
        <f>IF(A315="","",SUMIFS('收支明細'!$E:$E,'收支明細'!$B:$B,"收入",'收支明細'!$A:$A,A315))</f>
        <v/>
      </c>
      <c r="F315" s="40" t="str">
        <f>IF(A315="","",SUMIFS('固定支出'!$C:$C,'固定支出'!$G:$G,"是",'固定支出'!$D:$D,A315))</f>
        <v/>
      </c>
      <c r="G315" s="40" t="str">
        <f>IF(A315="","",SUMIFS('收支明細'!$E:$E,'收支明細'!$B:$B,"支出",'收支明細'!$A:$A,A315))</f>
        <v/>
      </c>
      <c r="H315" s="40" t="str">
        <f>IF(OR(A315="",A315&lt;'月度總覽'!$F$6),0,'月度總覽'!$F$13)</f>
        <v>0.00</v>
      </c>
      <c r="I315" s="40" t="str">
        <f t="shared" si="2"/>
        <v/>
      </c>
      <c r="J315" s="40" t="str">
        <f>IF(OR(A315="",A315&lt;'月度總覽'!$F$6),"",'月度總覽'!$F$12-SUM($H$5:H315)+IF(AND('月度總覽'!$B$10="到帳日自動計入",'月度總覽'!$B$8&gt;'月度總覽'!$B$7,'月度總覽'!$B$8&lt;=A315),'月度總覽'!$B$9,0)+SUMIFS($E$5:E315,$A$5:A315,"&gt;"&amp;'月度總覽'!$B$7)-SUMIFS($G$5:G315,$A$5:A315,"&gt;"&amp;'月度總覽'!$B$7))</f>
        <v/>
      </c>
    </row>
    <row r="316" ht="15.75" customHeight="1">
      <c r="A316" s="39" t="str">
        <f>IF(312&lt;='月度總覽'!$F$5,'月度總覽'!$B$5+312-1,"")</f>
        <v/>
      </c>
      <c r="B316" t="str">
        <f t="shared" si="1"/>
        <v/>
      </c>
      <c r="C316" t="str">
        <f>IF(A316="","",IF(A316&lt;'月度總覽'!$F$6,"已過",IF(A316='月度總覽'!$F$6,"基準日","未來")))</f>
        <v/>
      </c>
      <c r="D316" s="40" t="str">
        <f>IF(A316="","",IF(A316='月度總覽'!$B$8,'月度總覽'!$B$9,0))</f>
        <v/>
      </c>
      <c r="E316" s="40" t="str">
        <f>IF(A316="","",SUMIFS('收支明細'!$E:$E,'收支明細'!$B:$B,"收入",'收支明細'!$A:$A,A316))</f>
        <v/>
      </c>
      <c r="F316" s="40" t="str">
        <f>IF(A316="","",SUMIFS('固定支出'!$C:$C,'固定支出'!$G:$G,"是",'固定支出'!$D:$D,A316))</f>
        <v/>
      </c>
      <c r="G316" s="40" t="str">
        <f>IF(A316="","",SUMIFS('收支明細'!$E:$E,'收支明細'!$B:$B,"支出",'收支明細'!$A:$A,A316))</f>
        <v/>
      </c>
      <c r="H316" s="40" t="str">
        <f>IF(OR(A316="",A316&lt;'月度總覽'!$F$6),0,'月度總覽'!$F$13)</f>
        <v>0.00</v>
      </c>
      <c r="I316" s="40" t="str">
        <f t="shared" si="2"/>
        <v/>
      </c>
      <c r="J316" s="40" t="str">
        <f>IF(OR(A316="",A316&lt;'月度總覽'!$F$6),"",'月度總覽'!$F$12-SUM($H$5:H316)+IF(AND('月度總覽'!$B$10="到帳日自動計入",'月度總覽'!$B$8&gt;'月度總覽'!$B$7,'月度總覽'!$B$8&lt;=A316),'月度總覽'!$B$9,0)+SUMIFS($E$5:E316,$A$5:A316,"&gt;"&amp;'月度總覽'!$B$7)-SUMIFS($G$5:G316,$A$5:A316,"&gt;"&amp;'月度總覽'!$B$7))</f>
        <v/>
      </c>
    </row>
    <row r="317" ht="15.75" customHeight="1">
      <c r="A317" s="39" t="str">
        <f>IF(313&lt;='月度總覽'!$F$5,'月度總覽'!$B$5+313-1,"")</f>
        <v/>
      </c>
      <c r="B317" t="str">
        <f t="shared" si="1"/>
        <v/>
      </c>
      <c r="C317" t="str">
        <f>IF(A317="","",IF(A317&lt;'月度總覽'!$F$6,"已過",IF(A317='月度總覽'!$F$6,"基準日","未來")))</f>
        <v/>
      </c>
      <c r="D317" s="40" t="str">
        <f>IF(A317="","",IF(A317='月度總覽'!$B$8,'月度總覽'!$B$9,0))</f>
        <v/>
      </c>
      <c r="E317" s="40" t="str">
        <f>IF(A317="","",SUMIFS('收支明細'!$E:$E,'收支明細'!$B:$B,"收入",'收支明細'!$A:$A,A317))</f>
        <v/>
      </c>
      <c r="F317" s="40" t="str">
        <f>IF(A317="","",SUMIFS('固定支出'!$C:$C,'固定支出'!$G:$G,"是",'固定支出'!$D:$D,A317))</f>
        <v/>
      </c>
      <c r="G317" s="40" t="str">
        <f>IF(A317="","",SUMIFS('收支明細'!$E:$E,'收支明細'!$B:$B,"支出",'收支明細'!$A:$A,A317))</f>
        <v/>
      </c>
      <c r="H317" s="40" t="str">
        <f>IF(OR(A317="",A317&lt;'月度總覽'!$F$6),0,'月度總覽'!$F$13)</f>
        <v>0.00</v>
      </c>
      <c r="I317" s="40" t="str">
        <f t="shared" si="2"/>
        <v/>
      </c>
      <c r="J317" s="40" t="str">
        <f>IF(OR(A317="",A317&lt;'月度總覽'!$F$6),"",'月度總覽'!$F$12-SUM($H$5:H317)+IF(AND('月度總覽'!$B$10="到帳日自動計入",'月度總覽'!$B$8&gt;'月度總覽'!$B$7,'月度總覽'!$B$8&lt;=A317),'月度總覽'!$B$9,0)+SUMIFS($E$5:E317,$A$5:A317,"&gt;"&amp;'月度總覽'!$B$7)-SUMIFS($G$5:G317,$A$5:A317,"&gt;"&amp;'月度總覽'!$B$7))</f>
        <v/>
      </c>
    </row>
    <row r="318" ht="15.75" customHeight="1">
      <c r="A318" s="39" t="str">
        <f>IF(314&lt;='月度總覽'!$F$5,'月度總覽'!$B$5+314-1,"")</f>
        <v/>
      </c>
      <c r="B318" t="str">
        <f t="shared" si="1"/>
        <v/>
      </c>
      <c r="C318" t="str">
        <f>IF(A318="","",IF(A318&lt;'月度總覽'!$F$6,"已過",IF(A318='月度總覽'!$F$6,"基準日","未來")))</f>
        <v/>
      </c>
      <c r="D318" s="40" t="str">
        <f>IF(A318="","",IF(A318='月度總覽'!$B$8,'月度總覽'!$B$9,0))</f>
        <v/>
      </c>
      <c r="E318" s="40" t="str">
        <f>IF(A318="","",SUMIFS('收支明細'!$E:$E,'收支明細'!$B:$B,"收入",'收支明細'!$A:$A,A318))</f>
        <v/>
      </c>
      <c r="F318" s="40" t="str">
        <f>IF(A318="","",SUMIFS('固定支出'!$C:$C,'固定支出'!$G:$G,"是",'固定支出'!$D:$D,A318))</f>
        <v/>
      </c>
      <c r="G318" s="40" t="str">
        <f>IF(A318="","",SUMIFS('收支明細'!$E:$E,'收支明細'!$B:$B,"支出",'收支明細'!$A:$A,A318))</f>
        <v/>
      </c>
      <c r="H318" s="40" t="str">
        <f>IF(OR(A318="",A318&lt;'月度總覽'!$F$6),0,'月度總覽'!$F$13)</f>
        <v>0.00</v>
      </c>
      <c r="I318" s="40" t="str">
        <f t="shared" si="2"/>
        <v/>
      </c>
      <c r="J318" s="40" t="str">
        <f>IF(OR(A318="",A318&lt;'月度總覽'!$F$6),"",'月度總覽'!$F$12-SUM($H$5:H318)+IF(AND('月度總覽'!$B$10="到帳日自動計入",'月度總覽'!$B$8&gt;'月度總覽'!$B$7,'月度總覽'!$B$8&lt;=A318),'月度總覽'!$B$9,0)+SUMIFS($E$5:E318,$A$5:A318,"&gt;"&amp;'月度總覽'!$B$7)-SUMIFS($G$5:G318,$A$5:A318,"&gt;"&amp;'月度總覽'!$B$7))</f>
        <v/>
      </c>
    </row>
    <row r="319" ht="15.75" customHeight="1">
      <c r="A319" s="39" t="str">
        <f>IF(315&lt;='月度總覽'!$F$5,'月度總覽'!$B$5+315-1,"")</f>
        <v/>
      </c>
      <c r="B319" t="str">
        <f t="shared" si="1"/>
        <v/>
      </c>
      <c r="C319" t="str">
        <f>IF(A319="","",IF(A319&lt;'月度總覽'!$F$6,"已過",IF(A319='月度總覽'!$F$6,"基準日","未來")))</f>
        <v/>
      </c>
      <c r="D319" s="40" t="str">
        <f>IF(A319="","",IF(A319='月度總覽'!$B$8,'月度總覽'!$B$9,0))</f>
        <v/>
      </c>
      <c r="E319" s="40" t="str">
        <f>IF(A319="","",SUMIFS('收支明細'!$E:$E,'收支明細'!$B:$B,"收入",'收支明細'!$A:$A,A319))</f>
        <v/>
      </c>
      <c r="F319" s="40" t="str">
        <f>IF(A319="","",SUMIFS('固定支出'!$C:$C,'固定支出'!$G:$G,"是",'固定支出'!$D:$D,A319))</f>
        <v/>
      </c>
      <c r="G319" s="40" t="str">
        <f>IF(A319="","",SUMIFS('收支明細'!$E:$E,'收支明細'!$B:$B,"支出",'收支明細'!$A:$A,A319))</f>
        <v/>
      </c>
      <c r="H319" s="40" t="str">
        <f>IF(OR(A319="",A319&lt;'月度總覽'!$F$6),0,'月度總覽'!$F$13)</f>
        <v>0.00</v>
      </c>
      <c r="I319" s="40" t="str">
        <f t="shared" si="2"/>
        <v/>
      </c>
      <c r="J319" s="40" t="str">
        <f>IF(OR(A319="",A319&lt;'月度總覽'!$F$6),"",'月度總覽'!$F$12-SUM($H$5:H319)+IF(AND('月度總覽'!$B$10="到帳日自動計入",'月度總覽'!$B$8&gt;'月度總覽'!$B$7,'月度總覽'!$B$8&lt;=A319),'月度總覽'!$B$9,0)+SUMIFS($E$5:E319,$A$5:A319,"&gt;"&amp;'月度總覽'!$B$7)-SUMIFS($G$5:G319,$A$5:A319,"&gt;"&amp;'月度總覽'!$B$7))</f>
        <v/>
      </c>
    </row>
    <row r="320" ht="15.75" customHeight="1">
      <c r="A320" s="39" t="str">
        <f>IF(316&lt;='月度總覽'!$F$5,'月度總覽'!$B$5+316-1,"")</f>
        <v/>
      </c>
      <c r="B320" t="str">
        <f t="shared" si="1"/>
        <v/>
      </c>
      <c r="C320" t="str">
        <f>IF(A320="","",IF(A320&lt;'月度總覽'!$F$6,"已過",IF(A320='月度總覽'!$F$6,"基準日","未來")))</f>
        <v/>
      </c>
      <c r="D320" s="40" t="str">
        <f>IF(A320="","",IF(A320='月度總覽'!$B$8,'月度總覽'!$B$9,0))</f>
        <v/>
      </c>
      <c r="E320" s="40" t="str">
        <f>IF(A320="","",SUMIFS('收支明細'!$E:$E,'收支明細'!$B:$B,"收入",'收支明細'!$A:$A,A320))</f>
        <v/>
      </c>
      <c r="F320" s="40" t="str">
        <f>IF(A320="","",SUMIFS('固定支出'!$C:$C,'固定支出'!$G:$G,"是",'固定支出'!$D:$D,A320))</f>
        <v/>
      </c>
      <c r="G320" s="40" t="str">
        <f>IF(A320="","",SUMIFS('收支明細'!$E:$E,'收支明細'!$B:$B,"支出",'收支明細'!$A:$A,A320))</f>
        <v/>
      </c>
      <c r="H320" s="40" t="str">
        <f>IF(OR(A320="",A320&lt;'月度總覽'!$F$6),0,'月度總覽'!$F$13)</f>
        <v>0.00</v>
      </c>
      <c r="I320" s="40" t="str">
        <f t="shared" si="2"/>
        <v/>
      </c>
      <c r="J320" s="40" t="str">
        <f>IF(OR(A320="",A320&lt;'月度總覽'!$F$6),"",'月度總覽'!$F$12-SUM($H$5:H320)+IF(AND('月度總覽'!$B$10="到帳日自動計入",'月度總覽'!$B$8&gt;'月度總覽'!$B$7,'月度總覽'!$B$8&lt;=A320),'月度總覽'!$B$9,0)+SUMIFS($E$5:E320,$A$5:A320,"&gt;"&amp;'月度總覽'!$B$7)-SUMIFS($G$5:G320,$A$5:A320,"&gt;"&amp;'月度總覽'!$B$7))</f>
        <v/>
      </c>
    </row>
    <row r="321" ht="15.75" customHeight="1">
      <c r="A321" s="39" t="str">
        <f>IF(317&lt;='月度總覽'!$F$5,'月度總覽'!$B$5+317-1,"")</f>
        <v/>
      </c>
      <c r="B321" t="str">
        <f t="shared" si="1"/>
        <v/>
      </c>
      <c r="C321" t="str">
        <f>IF(A321="","",IF(A321&lt;'月度總覽'!$F$6,"已過",IF(A321='月度總覽'!$F$6,"基準日","未來")))</f>
        <v/>
      </c>
      <c r="D321" s="40" t="str">
        <f>IF(A321="","",IF(A321='月度總覽'!$B$8,'月度總覽'!$B$9,0))</f>
        <v/>
      </c>
      <c r="E321" s="40" t="str">
        <f>IF(A321="","",SUMIFS('收支明細'!$E:$E,'收支明細'!$B:$B,"收入",'收支明細'!$A:$A,A321))</f>
        <v/>
      </c>
      <c r="F321" s="40" t="str">
        <f>IF(A321="","",SUMIFS('固定支出'!$C:$C,'固定支出'!$G:$G,"是",'固定支出'!$D:$D,A321))</f>
        <v/>
      </c>
      <c r="G321" s="40" t="str">
        <f>IF(A321="","",SUMIFS('收支明細'!$E:$E,'收支明細'!$B:$B,"支出",'收支明細'!$A:$A,A321))</f>
        <v/>
      </c>
      <c r="H321" s="40" t="str">
        <f>IF(OR(A321="",A321&lt;'月度總覽'!$F$6),0,'月度總覽'!$F$13)</f>
        <v>0.00</v>
      </c>
      <c r="I321" s="40" t="str">
        <f t="shared" si="2"/>
        <v/>
      </c>
      <c r="J321" s="40" t="str">
        <f>IF(OR(A321="",A321&lt;'月度總覽'!$F$6),"",'月度總覽'!$F$12-SUM($H$5:H321)+IF(AND('月度總覽'!$B$10="到帳日自動計入",'月度總覽'!$B$8&gt;'月度總覽'!$B$7,'月度總覽'!$B$8&lt;=A321),'月度總覽'!$B$9,0)+SUMIFS($E$5:E321,$A$5:A321,"&gt;"&amp;'月度總覽'!$B$7)-SUMIFS($G$5:G321,$A$5:A321,"&gt;"&amp;'月度總覽'!$B$7))</f>
        <v/>
      </c>
    </row>
    <row r="322" ht="15.75" customHeight="1">
      <c r="A322" s="39" t="str">
        <f>IF(318&lt;='月度總覽'!$F$5,'月度總覽'!$B$5+318-1,"")</f>
        <v/>
      </c>
      <c r="B322" t="str">
        <f t="shared" si="1"/>
        <v/>
      </c>
      <c r="C322" t="str">
        <f>IF(A322="","",IF(A322&lt;'月度總覽'!$F$6,"已過",IF(A322='月度總覽'!$F$6,"基準日","未來")))</f>
        <v/>
      </c>
      <c r="D322" s="40" t="str">
        <f>IF(A322="","",IF(A322='月度總覽'!$B$8,'月度總覽'!$B$9,0))</f>
        <v/>
      </c>
      <c r="E322" s="40" t="str">
        <f>IF(A322="","",SUMIFS('收支明細'!$E:$E,'收支明細'!$B:$B,"收入",'收支明細'!$A:$A,A322))</f>
        <v/>
      </c>
      <c r="F322" s="40" t="str">
        <f>IF(A322="","",SUMIFS('固定支出'!$C:$C,'固定支出'!$G:$G,"是",'固定支出'!$D:$D,A322))</f>
        <v/>
      </c>
      <c r="G322" s="40" t="str">
        <f>IF(A322="","",SUMIFS('收支明細'!$E:$E,'收支明細'!$B:$B,"支出",'收支明細'!$A:$A,A322))</f>
        <v/>
      </c>
      <c r="H322" s="40" t="str">
        <f>IF(OR(A322="",A322&lt;'月度總覽'!$F$6),0,'月度總覽'!$F$13)</f>
        <v>0.00</v>
      </c>
      <c r="I322" s="40" t="str">
        <f t="shared" si="2"/>
        <v/>
      </c>
      <c r="J322" s="40" t="str">
        <f>IF(OR(A322="",A322&lt;'月度總覽'!$F$6),"",'月度總覽'!$F$12-SUM($H$5:H322)+IF(AND('月度總覽'!$B$10="到帳日自動計入",'月度總覽'!$B$8&gt;'月度總覽'!$B$7,'月度總覽'!$B$8&lt;=A322),'月度總覽'!$B$9,0)+SUMIFS($E$5:E322,$A$5:A322,"&gt;"&amp;'月度總覽'!$B$7)-SUMIFS($G$5:G322,$A$5:A322,"&gt;"&amp;'月度總覽'!$B$7))</f>
        <v/>
      </c>
    </row>
    <row r="323" ht="15.75" customHeight="1">
      <c r="A323" s="39" t="str">
        <f>IF(319&lt;='月度總覽'!$F$5,'月度總覽'!$B$5+319-1,"")</f>
        <v/>
      </c>
      <c r="B323" t="str">
        <f t="shared" si="1"/>
        <v/>
      </c>
      <c r="C323" t="str">
        <f>IF(A323="","",IF(A323&lt;'月度總覽'!$F$6,"已過",IF(A323='月度總覽'!$F$6,"基準日","未來")))</f>
        <v/>
      </c>
      <c r="D323" s="40" t="str">
        <f>IF(A323="","",IF(A323='月度總覽'!$B$8,'月度總覽'!$B$9,0))</f>
        <v/>
      </c>
      <c r="E323" s="40" t="str">
        <f>IF(A323="","",SUMIFS('收支明細'!$E:$E,'收支明細'!$B:$B,"收入",'收支明細'!$A:$A,A323))</f>
        <v/>
      </c>
      <c r="F323" s="40" t="str">
        <f>IF(A323="","",SUMIFS('固定支出'!$C:$C,'固定支出'!$G:$G,"是",'固定支出'!$D:$D,A323))</f>
        <v/>
      </c>
      <c r="G323" s="40" t="str">
        <f>IF(A323="","",SUMIFS('收支明細'!$E:$E,'收支明細'!$B:$B,"支出",'收支明細'!$A:$A,A323))</f>
        <v/>
      </c>
      <c r="H323" s="40" t="str">
        <f>IF(OR(A323="",A323&lt;'月度總覽'!$F$6),0,'月度總覽'!$F$13)</f>
        <v>0.00</v>
      </c>
      <c r="I323" s="40" t="str">
        <f t="shared" si="2"/>
        <v/>
      </c>
      <c r="J323" s="40" t="str">
        <f>IF(OR(A323="",A323&lt;'月度總覽'!$F$6),"",'月度總覽'!$F$12-SUM($H$5:H323)+IF(AND('月度總覽'!$B$10="到帳日自動計入",'月度總覽'!$B$8&gt;'月度總覽'!$B$7,'月度總覽'!$B$8&lt;=A323),'月度總覽'!$B$9,0)+SUMIFS($E$5:E323,$A$5:A323,"&gt;"&amp;'月度總覽'!$B$7)-SUMIFS($G$5:G323,$A$5:A323,"&gt;"&amp;'月度總覽'!$B$7))</f>
        <v/>
      </c>
    </row>
    <row r="324" ht="15.75" customHeight="1">
      <c r="A324" s="39" t="str">
        <f>IF(320&lt;='月度總覽'!$F$5,'月度總覽'!$B$5+320-1,"")</f>
        <v/>
      </c>
      <c r="B324" t="str">
        <f t="shared" si="1"/>
        <v/>
      </c>
      <c r="C324" t="str">
        <f>IF(A324="","",IF(A324&lt;'月度總覽'!$F$6,"已過",IF(A324='月度總覽'!$F$6,"基準日","未來")))</f>
        <v/>
      </c>
      <c r="D324" s="40" t="str">
        <f>IF(A324="","",IF(A324='月度總覽'!$B$8,'月度總覽'!$B$9,0))</f>
        <v/>
      </c>
      <c r="E324" s="40" t="str">
        <f>IF(A324="","",SUMIFS('收支明細'!$E:$E,'收支明細'!$B:$B,"收入",'收支明細'!$A:$A,A324))</f>
        <v/>
      </c>
      <c r="F324" s="40" t="str">
        <f>IF(A324="","",SUMIFS('固定支出'!$C:$C,'固定支出'!$G:$G,"是",'固定支出'!$D:$D,A324))</f>
        <v/>
      </c>
      <c r="G324" s="40" t="str">
        <f>IF(A324="","",SUMIFS('收支明細'!$E:$E,'收支明細'!$B:$B,"支出",'收支明細'!$A:$A,A324))</f>
        <v/>
      </c>
      <c r="H324" s="40" t="str">
        <f>IF(OR(A324="",A324&lt;'月度總覽'!$F$6),0,'月度總覽'!$F$13)</f>
        <v>0.00</v>
      </c>
      <c r="I324" s="40" t="str">
        <f t="shared" si="2"/>
        <v/>
      </c>
      <c r="J324" s="40" t="str">
        <f>IF(OR(A324="",A324&lt;'月度總覽'!$F$6),"",'月度總覽'!$F$12-SUM($H$5:H324)+IF(AND('月度總覽'!$B$10="到帳日自動計入",'月度總覽'!$B$8&gt;'月度總覽'!$B$7,'月度總覽'!$B$8&lt;=A324),'月度總覽'!$B$9,0)+SUMIFS($E$5:E324,$A$5:A324,"&gt;"&amp;'月度總覽'!$B$7)-SUMIFS($G$5:G324,$A$5:A324,"&gt;"&amp;'月度總覽'!$B$7))</f>
        <v/>
      </c>
    </row>
    <row r="325" ht="15.75" customHeight="1">
      <c r="A325" s="39" t="str">
        <f>IF(321&lt;='月度總覽'!$F$5,'月度總覽'!$B$5+321-1,"")</f>
        <v/>
      </c>
      <c r="B325" t="str">
        <f t="shared" si="1"/>
        <v/>
      </c>
      <c r="C325" t="str">
        <f>IF(A325="","",IF(A325&lt;'月度總覽'!$F$6,"已過",IF(A325='月度總覽'!$F$6,"基準日","未來")))</f>
        <v/>
      </c>
      <c r="D325" s="40" t="str">
        <f>IF(A325="","",IF(A325='月度總覽'!$B$8,'月度總覽'!$B$9,0))</f>
        <v/>
      </c>
      <c r="E325" s="40" t="str">
        <f>IF(A325="","",SUMIFS('收支明細'!$E:$E,'收支明細'!$B:$B,"收入",'收支明細'!$A:$A,A325))</f>
        <v/>
      </c>
      <c r="F325" s="40" t="str">
        <f>IF(A325="","",SUMIFS('固定支出'!$C:$C,'固定支出'!$G:$G,"是",'固定支出'!$D:$D,A325))</f>
        <v/>
      </c>
      <c r="G325" s="40" t="str">
        <f>IF(A325="","",SUMIFS('收支明細'!$E:$E,'收支明細'!$B:$B,"支出",'收支明細'!$A:$A,A325))</f>
        <v/>
      </c>
      <c r="H325" s="40" t="str">
        <f>IF(OR(A325="",A325&lt;'月度總覽'!$F$6),0,'月度總覽'!$F$13)</f>
        <v>0.00</v>
      </c>
      <c r="I325" s="40" t="str">
        <f t="shared" si="2"/>
        <v/>
      </c>
      <c r="J325" s="40" t="str">
        <f>IF(OR(A325="",A325&lt;'月度總覽'!$F$6),"",'月度總覽'!$F$12-SUM($H$5:H325)+IF(AND('月度總覽'!$B$10="到帳日自動計入",'月度總覽'!$B$8&gt;'月度總覽'!$B$7,'月度總覽'!$B$8&lt;=A325),'月度總覽'!$B$9,0)+SUMIFS($E$5:E325,$A$5:A325,"&gt;"&amp;'月度總覽'!$B$7)-SUMIFS($G$5:G325,$A$5:A325,"&gt;"&amp;'月度總覽'!$B$7))</f>
        <v/>
      </c>
    </row>
    <row r="326" ht="15.75" customHeight="1">
      <c r="A326" s="39" t="str">
        <f>IF(322&lt;='月度總覽'!$F$5,'月度總覽'!$B$5+322-1,"")</f>
        <v/>
      </c>
      <c r="B326" t="str">
        <f t="shared" si="1"/>
        <v/>
      </c>
      <c r="C326" t="str">
        <f>IF(A326="","",IF(A326&lt;'月度總覽'!$F$6,"已過",IF(A326='月度總覽'!$F$6,"基準日","未來")))</f>
        <v/>
      </c>
      <c r="D326" s="40" t="str">
        <f>IF(A326="","",IF(A326='月度總覽'!$B$8,'月度總覽'!$B$9,0))</f>
        <v/>
      </c>
      <c r="E326" s="40" t="str">
        <f>IF(A326="","",SUMIFS('收支明細'!$E:$E,'收支明細'!$B:$B,"收入",'收支明細'!$A:$A,A326))</f>
        <v/>
      </c>
      <c r="F326" s="40" t="str">
        <f>IF(A326="","",SUMIFS('固定支出'!$C:$C,'固定支出'!$G:$G,"是",'固定支出'!$D:$D,A326))</f>
        <v/>
      </c>
      <c r="G326" s="40" t="str">
        <f>IF(A326="","",SUMIFS('收支明細'!$E:$E,'收支明細'!$B:$B,"支出",'收支明細'!$A:$A,A326))</f>
        <v/>
      </c>
      <c r="H326" s="40" t="str">
        <f>IF(OR(A326="",A326&lt;'月度總覽'!$F$6),0,'月度總覽'!$F$13)</f>
        <v>0.00</v>
      </c>
      <c r="I326" s="40" t="str">
        <f t="shared" si="2"/>
        <v/>
      </c>
      <c r="J326" s="40" t="str">
        <f>IF(OR(A326="",A326&lt;'月度總覽'!$F$6),"",'月度總覽'!$F$12-SUM($H$5:H326)+IF(AND('月度總覽'!$B$10="到帳日自動計入",'月度總覽'!$B$8&gt;'月度總覽'!$B$7,'月度總覽'!$B$8&lt;=A326),'月度總覽'!$B$9,0)+SUMIFS($E$5:E326,$A$5:A326,"&gt;"&amp;'月度總覽'!$B$7)-SUMIFS($G$5:G326,$A$5:A326,"&gt;"&amp;'月度總覽'!$B$7))</f>
        <v/>
      </c>
    </row>
    <row r="327" ht="15.75" customHeight="1">
      <c r="A327" s="39" t="str">
        <f>IF(323&lt;='月度總覽'!$F$5,'月度總覽'!$B$5+323-1,"")</f>
        <v/>
      </c>
      <c r="B327" t="str">
        <f t="shared" si="1"/>
        <v/>
      </c>
      <c r="C327" t="str">
        <f>IF(A327="","",IF(A327&lt;'月度總覽'!$F$6,"已過",IF(A327='月度總覽'!$F$6,"基準日","未來")))</f>
        <v/>
      </c>
      <c r="D327" s="40" t="str">
        <f>IF(A327="","",IF(A327='月度總覽'!$B$8,'月度總覽'!$B$9,0))</f>
        <v/>
      </c>
      <c r="E327" s="40" t="str">
        <f>IF(A327="","",SUMIFS('收支明細'!$E:$E,'收支明細'!$B:$B,"收入",'收支明細'!$A:$A,A327))</f>
        <v/>
      </c>
      <c r="F327" s="40" t="str">
        <f>IF(A327="","",SUMIFS('固定支出'!$C:$C,'固定支出'!$G:$G,"是",'固定支出'!$D:$D,A327))</f>
        <v/>
      </c>
      <c r="G327" s="40" t="str">
        <f>IF(A327="","",SUMIFS('收支明細'!$E:$E,'收支明細'!$B:$B,"支出",'收支明細'!$A:$A,A327))</f>
        <v/>
      </c>
      <c r="H327" s="40" t="str">
        <f>IF(OR(A327="",A327&lt;'月度總覽'!$F$6),0,'月度總覽'!$F$13)</f>
        <v>0.00</v>
      </c>
      <c r="I327" s="40" t="str">
        <f t="shared" si="2"/>
        <v/>
      </c>
      <c r="J327" s="40" t="str">
        <f>IF(OR(A327="",A327&lt;'月度總覽'!$F$6),"",'月度總覽'!$F$12-SUM($H$5:H327)+IF(AND('月度總覽'!$B$10="到帳日自動計入",'月度總覽'!$B$8&gt;'月度總覽'!$B$7,'月度總覽'!$B$8&lt;=A327),'月度總覽'!$B$9,0)+SUMIFS($E$5:E327,$A$5:A327,"&gt;"&amp;'月度總覽'!$B$7)-SUMIFS($G$5:G327,$A$5:A327,"&gt;"&amp;'月度總覽'!$B$7))</f>
        <v/>
      </c>
    </row>
    <row r="328" ht="15.75" customHeight="1">
      <c r="A328" s="39" t="str">
        <f>IF(324&lt;='月度總覽'!$F$5,'月度總覽'!$B$5+324-1,"")</f>
        <v/>
      </c>
      <c r="B328" t="str">
        <f t="shared" si="1"/>
        <v/>
      </c>
      <c r="C328" t="str">
        <f>IF(A328="","",IF(A328&lt;'月度總覽'!$F$6,"已過",IF(A328='月度總覽'!$F$6,"基準日","未來")))</f>
        <v/>
      </c>
      <c r="D328" s="40" t="str">
        <f>IF(A328="","",IF(A328='月度總覽'!$B$8,'月度總覽'!$B$9,0))</f>
        <v/>
      </c>
      <c r="E328" s="40" t="str">
        <f>IF(A328="","",SUMIFS('收支明細'!$E:$E,'收支明細'!$B:$B,"收入",'收支明細'!$A:$A,A328))</f>
        <v/>
      </c>
      <c r="F328" s="40" t="str">
        <f>IF(A328="","",SUMIFS('固定支出'!$C:$C,'固定支出'!$G:$G,"是",'固定支出'!$D:$D,A328))</f>
        <v/>
      </c>
      <c r="G328" s="40" t="str">
        <f>IF(A328="","",SUMIFS('收支明細'!$E:$E,'收支明細'!$B:$B,"支出",'收支明細'!$A:$A,A328))</f>
        <v/>
      </c>
      <c r="H328" s="40" t="str">
        <f>IF(OR(A328="",A328&lt;'月度總覽'!$F$6),0,'月度總覽'!$F$13)</f>
        <v>0.00</v>
      </c>
      <c r="I328" s="40" t="str">
        <f t="shared" si="2"/>
        <v/>
      </c>
      <c r="J328" s="40" t="str">
        <f>IF(OR(A328="",A328&lt;'月度總覽'!$F$6),"",'月度總覽'!$F$12-SUM($H$5:H328)+IF(AND('月度總覽'!$B$10="到帳日自動計入",'月度總覽'!$B$8&gt;'月度總覽'!$B$7,'月度總覽'!$B$8&lt;=A328),'月度總覽'!$B$9,0)+SUMIFS($E$5:E328,$A$5:A328,"&gt;"&amp;'月度總覽'!$B$7)-SUMIFS($G$5:G328,$A$5:A328,"&gt;"&amp;'月度總覽'!$B$7))</f>
        <v/>
      </c>
    </row>
    <row r="329" ht="15.75" customHeight="1">
      <c r="A329" s="39" t="str">
        <f>IF(325&lt;='月度總覽'!$F$5,'月度總覽'!$B$5+325-1,"")</f>
        <v/>
      </c>
      <c r="B329" t="str">
        <f t="shared" si="1"/>
        <v/>
      </c>
      <c r="C329" t="str">
        <f>IF(A329="","",IF(A329&lt;'月度總覽'!$F$6,"已過",IF(A329='月度總覽'!$F$6,"基準日","未來")))</f>
        <v/>
      </c>
      <c r="D329" s="40" t="str">
        <f>IF(A329="","",IF(A329='月度總覽'!$B$8,'月度總覽'!$B$9,0))</f>
        <v/>
      </c>
      <c r="E329" s="40" t="str">
        <f>IF(A329="","",SUMIFS('收支明細'!$E:$E,'收支明細'!$B:$B,"收入",'收支明細'!$A:$A,A329))</f>
        <v/>
      </c>
      <c r="F329" s="40" t="str">
        <f>IF(A329="","",SUMIFS('固定支出'!$C:$C,'固定支出'!$G:$G,"是",'固定支出'!$D:$D,A329))</f>
        <v/>
      </c>
      <c r="G329" s="40" t="str">
        <f>IF(A329="","",SUMIFS('收支明細'!$E:$E,'收支明細'!$B:$B,"支出",'收支明細'!$A:$A,A329))</f>
        <v/>
      </c>
      <c r="H329" s="40" t="str">
        <f>IF(OR(A329="",A329&lt;'月度總覽'!$F$6),0,'月度總覽'!$F$13)</f>
        <v>0.00</v>
      </c>
      <c r="I329" s="40" t="str">
        <f t="shared" si="2"/>
        <v/>
      </c>
      <c r="J329" s="40" t="str">
        <f>IF(OR(A329="",A329&lt;'月度總覽'!$F$6),"",'月度總覽'!$F$12-SUM($H$5:H329)+IF(AND('月度總覽'!$B$10="到帳日自動計入",'月度總覽'!$B$8&gt;'月度總覽'!$B$7,'月度總覽'!$B$8&lt;=A329),'月度總覽'!$B$9,0)+SUMIFS($E$5:E329,$A$5:A329,"&gt;"&amp;'月度總覽'!$B$7)-SUMIFS($G$5:G329,$A$5:A329,"&gt;"&amp;'月度總覽'!$B$7))</f>
        <v/>
      </c>
    </row>
    <row r="330" ht="15.75" customHeight="1">
      <c r="A330" s="39" t="str">
        <f>IF(326&lt;='月度總覽'!$F$5,'月度總覽'!$B$5+326-1,"")</f>
        <v/>
      </c>
      <c r="B330" t="str">
        <f t="shared" si="1"/>
        <v/>
      </c>
      <c r="C330" t="str">
        <f>IF(A330="","",IF(A330&lt;'月度總覽'!$F$6,"已過",IF(A330='月度總覽'!$F$6,"基準日","未來")))</f>
        <v/>
      </c>
      <c r="D330" s="40" t="str">
        <f>IF(A330="","",IF(A330='月度總覽'!$B$8,'月度總覽'!$B$9,0))</f>
        <v/>
      </c>
      <c r="E330" s="40" t="str">
        <f>IF(A330="","",SUMIFS('收支明細'!$E:$E,'收支明細'!$B:$B,"收入",'收支明細'!$A:$A,A330))</f>
        <v/>
      </c>
      <c r="F330" s="40" t="str">
        <f>IF(A330="","",SUMIFS('固定支出'!$C:$C,'固定支出'!$G:$G,"是",'固定支出'!$D:$D,A330))</f>
        <v/>
      </c>
      <c r="G330" s="40" t="str">
        <f>IF(A330="","",SUMIFS('收支明細'!$E:$E,'收支明細'!$B:$B,"支出",'收支明細'!$A:$A,A330))</f>
        <v/>
      </c>
      <c r="H330" s="40" t="str">
        <f>IF(OR(A330="",A330&lt;'月度總覽'!$F$6),0,'月度總覽'!$F$13)</f>
        <v>0.00</v>
      </c>
      <c r="I330" s="40" t="str">
        <f t="shared" si="2"/>
        <v/>
      </c>
      <c r="J330" s="40" t="str">
        <f>IF(OR(A330="",A330&lt;'月度總覽'!$F$6),"",'月度總覽'!$F$12-SUM($H$5:H330)+IF(AND('月度總覽'!$B$10="到帳日自動計入",'月度總覽'!$B$8&gt;'月度總覽'!$B$7,'月度總覽'!$B$8&lt;=A330),'月度總覽'!$B$9,0)+SUMIFS($E$5:E330,$A$5:A330,"&gt;"&amp;'月度總覽'!$B$7)-SUMIFS($G$5:G330,$A$5:A330,"&gt;"&amp;'月度總覽'!$B$7))</f>
        <v/>
      </c>
    </row>
    <row r="331" ht="15.75" customHeight="1">
      <c r="A331" s="39" t="str">
        <f>IF(327&lt;='月度總覽'!$F$5,'月度總覽'!$B$5+327-1,"")</f>
        <v/>
      </c>
      <c r="B331" t="str">
        <f t="shared" si="1"/>
        <v/>
      </c>
      <c r="C331" t="str">
        <f>IF(A331="","",IF(A331&lt;'月度總覽'!$F$6,"已過",IF(A331='月度總覽'!$F$6,"基準日","未來")))</f>
        <v/>
      </c>
      <c r="D331" s="40" t="str">
        <f>IF(A331="","",IF(A331='月度總覽'!$B$8,'月度總覽'!$B$9,0))</f>
        <v/>
      </c>
      <c r="E331" s="40" t="str">
        <f>IF(A331="","",SUMIFS('收支明細'!$E:$E,'收支明細'!$B:$B,"收入",'收支明細'!$A:$A,A331))</f>
        <v/>
      </c>
      <c r="F331" s="40" t="str">
        <f>IF(A331="","",SUMIFS('固定支出'!$C:$C,'固定支出'!$G:$G,"是",'固定支出'!$D:$D,A331))</f>
        <v/>
      </c>
      <c r="G331" s="40" t="str">
        <f>IF(A331="","",SUMIFS('收支明細'!$E:$E,'收支明細'!$B:$B,"支出",'收支明細'!$A:$A,A331))</f>
        <v/>
      </c>
      <c r="H331" s="40" t="str">
        <f>IF(OR(A331="",A331&lt;'月度總覽'!$F$6),0,'月度總覽'!$F$13)</f>
        <v>0.00</v>
      </c>
      <c r="I331" s="40" t="str">
        <f t="shared" si="2"/>
        <v/>
      </c>
      <c r="J331" s="40" t="str">
        <f>IF(OR(A331="",A331&lt;'月度總覽'!$F$6),"",'月度總覽'!$F$12-SUM($H$5:H331)+IF(AND('月度總覽'!$B$10="到帳日自動計入",'月度總覽'!$B$8&gt;'月度總覽'!$B$7,'月度總覽'!$B$8&lt;=A331),'月度總覽'!$B$9,0)+SUMIFS($E$5:E331,$A$5:A331,"&gt;"&amp;'月度總覽'!$B$7)-SUMIFS($G$5:G331,$A$5:A331,"&gt;"&amp;'月度總覽'!$B$7))</f>
        <v/>
      </c>
    </row>
    <row r="332" ht="15.75" customHeight="1">
      <c r="A332" s="39" t="str">
        <f>IF(328&lt;='月度總覽'!$F$5,'月度總覽'!$B$5+328-1,"")</f>
        <v/>
      </c>
      <c r="B332" t="str">
        <f t="shared" si="1"/>
        <v/>
      </c>
      <c r="C332" t="str">
        <f>IF(A332="","",IF(A332&lt;'月度總覽'!$F$6,"已過",IF(A332='月度總覽'!$F$6,"基準日","未來")))</f>
        <v/>
      </c>
      <c r="D332" s="40" t="str">
        <f>IF(A332="","",IF(A332='月度總覽'!$B$8,'月度總覽'!$B$9,0))</f>
        <v/>
      </c>
      <c r="E332" s="40" t="str">
        <f>IF(A332="","",SUMIFS('收支明細'!$E:$E,'收支明細'!$B:$B,"收入",'收支明細'!$A:$A,A332))</f>
        <v/>
      </c>
      <c r="F332" s="40" t="str">
        <f>IF(A332="","",SUMIFS('固定支出'!$C:$C,'固定支出'!$G:$G,"是",'固定支出'!$D:$D,A332))</f>
        <v/>
      </c>
      <c r="G332" s="40" t="str">
        <f>IF(A332="","",SUMIFS('收支明細'!$E:$E,'收支明細'!$B:$B,"支出",'收支明細'!$A:$A,A332))</f>
        <v/>
      </c>
      <c r="H332" s="40" t="str">
        <f>IF(OR(A332="",A332&lt;'月度總覽'!$F$6),0,'月度總覽'!$F$13)</f>
        <v>0.00</v>
      </c>
      <c r="I332" s="40" t="str">
        <f t="shared" si="2"/>
        <v/>
      </c>
      <c r="J332" s="40" t="str">
        <f>IF(OR(A332="",A332&lt;'月度總覽'!$F$6),"",'月度總覽'!$F$12-SUM($H$5:H332)+IF(AND('月度總覽'!$B$10="到帳日自動計入",'月度總覽'!$B$8&gt;'月度總覽'!$B$7,'月度總覽'!$B$8&lt;=A332),'月度總覽'!$B$9,0)+SUMIFS($E$5:E332,$A$5:A332,"&gt;"&amp;'月度總覽'!$B$7)-SUMIFS($G$5:G332,$A$5:A332,"&gt;"&amp;'月度總覽'!$B$7))</f>
        <v/>
      </c>
    </row>
    <row r="333" ht="15.75" customHeight="1">
      <c r="A333" s="39" t="str">
        <f>IF(329&lt;='月度總覽'!$F$5,'月度總覽'!$B$5+329-1,"")</f>
        <v/>
      </c>
      <c r="B333" t="str">
        <f t="shared" si="1"/>
        <v/>
      </c>
      <c r="C333" t="str">
        <f>IF(A333="","",IF(A333&lt;'月度總覽'!$F$6,"已過",IF(A333='月度總覽'!$F$6,"基準日","未來")))</f>
        <v/>
      </c>
      <c r="D333" s="40" t="str">
        <f>IF(A333="","",IF(A333='月度總覽'!$B$8,'月度總覽'!$B$9,0))</f>
        <v/>
      </c>
      <c r="E333" s="40" t="str">
        <f>IF(A333="","",SUMIFS('收支明細'!$E:$E,'收支明細'!$B:$B,"收入",'收支明細'!$A:$A,A333))</f>
        <v/>
      </c>
      <c r="F333" s="40" t="str">
        <f>IF(A333="","",SUMIFS('固定支出'!$C:$C,'固定支出'!$G:$G,"是",'固定支出'!$D:$D,A333))</f>
        <v/>
      </c>
      <c r="G333" s="40" t="str">
        <f>IF(A333="","",SUMIFS('收支明細'!$E:$E,'收支明細'!$B:$B,"支出",'收支明細'!$A:$A,A333))</f>
        <v/>
      </c>
      <c r="H333" s="40" t="str">
        <f>IF(OR(A333="",A333&lt;'月度總覽'!$F$6),0,'月度總覽'!$F$13)</f>
        <v>0.00</v>
      </c>
      <c r="I333" s="40" t="str">
        <f t="shared" si="2"/>
        <v/>
      </c>
      <c r="J333" s="40" t="str">
        <f>IF(OR(A333="",A333&lt;'月度總覽'!$F$6),"",'月度總覽'!$F$12-SUM($H$5:H333)+IF(AND('月度總覽'!$B$10="到帳日自動計入",'月度總覽'!$B$8&gt;'月度總覽'!$B$7,'月度總覽'!$B$8&lt;=A333),'月度總覽'!$B$9,0)+SUMIFS($E$5:E333,$A$5:A333,"&gt;"&amp;'月度總覽'!$B$7)-SUMIFS($G$5:G333,$A$5:A333,"&gt;"&amp;'月度總覽'!$B$7))</f>
        <v/>
      </c>
    </row>
    <row r="334" ht="15.75" customHeight="1">
      <c r="A334" s="39" t="str">
        <f>IF(330&lt;='月度總覽'!$F$5,'月度總覽'!$B$5+330-1,"")</f>
        <v/>
      </c>
      <c r="B334" t="str">
        <f t="shared" si="1"/>
        <v/>
      </c>
      <c r="C334" t="str">
        <f>IF(A334="","",IF(A334&lt;'月度總覽'!$F$6,"已過",IF(A334='月度總覽'!$F$6,"基準日","未來")))</f>
        <v/>
      </c>
      <c r="D334" s="40" t="str">
        <f>IF(A334="","",IF(A334='月度總覽'!$B$8,'月度總覽'!$B$9,0))</f>
        <v/>
      </c>
      <c r="E334" s="40" t="str">
        <f>IF(A334="","",SUMIFS('收支明細'!$E:$E,'收支明細'!$B:$B,"收入",'收支明細'!$A:$A,A334))</f>
        <v/>
      </c>
      <c r="F334" s="40" t="str">
        <f>IF(A334="","",SUMIFS('固定支出'!$C:$C,'固定支出'!$G:$G,"是",'固定支出'!$D:$D,A334))</f>
        <v/>
      </c>
      <c r="G334" s="40" t="str">
        <f>IF(A334="","",SUMIFS('收支明細'!$E:$E,'收支明細'!$B:$B,"支出",'收支明細'!$A:$A,A334))</f>
        <v/>
      </c>
      <c r="H334" s="40" t="str">
        <f>IF(OR(A334="",A334&lt;'月度總覽'!$F$6),0,'月度總覽'!$F$13)</f>
        <v>0.00</v>
      </c>
      <c r="I334" s="40" t="str">
        <f t="shared" si="2"/>
        <v/>
      </c>
      <c r="J334" s="40" t="str">
        <f>IF(OR(A334="",A334&lt;'月度總覽'!$F$6),"",'月度總覽'!$F$12-SUM($H$5:H334)+IF(AND('月度總覽'!$B$10="到帳日自動計入",'月度總覽'!$B$8&gt;'月度總覽'!$B$7,'月度總覽'!$B$8&lt;=A334),'月度總覽'!$B$9,0)+SUMIFS($E$5:E334,$A$5:A334,"&gt;"&amp;'月度總覽'!$B$7)-SUMIFS($G$5:G334,$A$5:A334,"&gt;"&amp;'月度總覽'!$B$7))</f>
        <v/>
      </c>
    </row>
    <row r="335" ht="15.75" customHeight="1">
      <c r="A335" s="39" t="str">
        <f>IF(331&lt;='月度總覽'!$F$5,'月度總覽'!$B$5+331-1,"")</f>
        <v/>
      </c>
      <c r="B335" t="str">
        <f t="shared" si="1"/>
        <v/>
      </c>
      <c r="C335" t="str">
        <f>IF(A335="","",IF(A335&lt;'月度總覽'!$F$6,"已過",IF(A335='月度總覽'!$F$6,"基準日","未來")))</f>
        <v/>
      </c>
      <c r="D335" s="40" t="str">
        <f>IF(A335="","",IF(A335='月度總覽'!$B$8,'月度總覽'!$B$9,0))</f>
        <v/>
      </c>
      <c r="E335" s="40" t="str">
        <f>IF(A335="","",SUMIFS('收支明細'!$E:$E,'收支明細'!$B:$B,"收入",'收支明細'!$A:$A,A335))</f>
        <v/>
      </c>
      <c r="F335" s="40" t="str">
        <f>IF(A335="","",SUMIFS('固定支出'!$C:$C,'固定支出'!$G:$G,"是",'固定支出'!$D:$D,A335))</f>
        <v/>
      </c>
      <c r="G335" s="40" t="str">
        <f>IF(A335="","",SUMIFS('收支明細'!$E:$E,'收支明細'!$B:$B,"支出",'收支明細'!$A:$A,A335))</f>
        <v/>
      </c>
      <c r="H335" s="40" t="str">
        <f>IF(OR(A335="",A335&lt;'月度總覽'!$F$6),0,'月度總覽'!$F$13)</f>
        <v>0.00</v>
      </c>
      <c r="I335" s="40" t="str">
        <f t="shared" si="2"/>
        <v/>
      </c>
      <c r="J335" s="40" t="str">
        <f>IF(OR(A335="",A335&lt;'月度總覽'!$F$6),"",'月度總覽'!$F$12-SUM($H$5:H335)+IF(AND('月度總覽'!$B$10="到帳日自動計入",'月度總覽'!$B$8&gt;'月度總覽'!$B$7,'月度總覽'!$B$8&lt;=A335),'月度總覽'!$B$9,0)+SUMIFS($E$5:E335,$A$5:A335,"&gt;"&amp;'月度總覽'!$B$7)-SUMIFS($G$5:G335,$A$5:A335,"&gt;"&amp;'月度總覽'!$B$7))</f>
        <v/>
      </c>
    </row>
    <row r="336" ht="15.75" customHeight="1">
      <c r="A336" s="39" t="str">
        <f>IF(332&lt;='月度總覽'!$F$5,'月度總覽'!$B$5+332-1,"")</f>
        <v/>
      </c>
      <c r="B336" t="str">
        <f t="shared" si="1"/>
        <v/>
      </c>
      <c r="C336" t="str">
        <f>IF(A336="","",IF(A336&lt;'月度總覽'!$F$6,"已過",IF(A336='月度總覽'!$F$6,"基準日","未來")))</f>
        <v/>
      </c>
      <c r="D336" s="40" t="str">
        <f>IF(A336="","",IF(A336='月度總覽'!$B$8,'月度總覽'!$B$9,0))</f>
        <v/>
      </c>
      <c r="E336" s="40" t="str">
        <f>IF(A336="","",SUMIFS('收支明細'!$E:$E,'收支明細'!$B:$B,"收入",'收支明細'!$A:$A,A336))</f>
        <v/>
      </c>
      <c r="F336" s="40" t="str">
        <f>IF(A336="","",SUMIFS('固定支出'!$C:$C,'固定支出'!$G:$G,"是",'固定支出'!$D:$D,A336))</f>
        <v/>
      </c>
      <c r="G336" s="40" t="str">
        <f>IF(A336="","",SUMIFS('收支明細'!$E:$E,'收支明細'!$B:$B,"支出",'收支明細'!$A:$A,A336))</f>
        <v/>
      </c>
      <c r="H336" s="40" t="str">
        <f>IF(OR(A336="",A336&lt;'月度總覽'!$F$6),0,'月度總覽'!$F$13)</f>
        <v>0.00</v>
      </c>
      <c r="I336" s="40" t="str">
        <f t="shared" si="2"/>
        <v/>
      </c>
      <c r="J336" s="40" t="str">
        <f>IF(OR(A336="",A336&lt;'月度總覽'!$F$6),"",'月度總覽'!$F$12-SUM($H$5:H336)+IF(AND('月度總覽'!$B$10="到帳日自動計入",'月度總覽'!$B$8&gt;'月度總覽'!$B$7,'月度總覽'!$B$8&lt;=A336),'月度總覽'!$B$9,0)+SUMIFS($E$5:E336,$A$5:A336,"&gt;"&amp;'月度總覽'!$B$7)-SUMIFS($G$5:G336,$A$5:A336,"&gt;"&amp;'月度總覽'!$B$7))</f>
        <v/>
      </c>
    </row>
    <row r="337" ht="15.75" customHeight="1">
      <c r="A337" s="39" t="str">
        <f>IF(333&lt;='月度總覽'!$F$5,'月度總覽'!$B$5+333-1,"")</f>
        <v/>
      </c>
      <c r="B337" t="str">
        <f t="shared" si="1"/>
        <v/>
      </c>
      <c r="C337" t="str">
        <f>IF(A337="","",IF(A337&lt;'月度總覽'!$F$6,"已過",IF(A337='月度總覽'!$F$6,"基準日","未來")))</f>
        <v/>
      </c>
      <c r="D337" s="40" t="str">
        <f>IF(A337="","",IF(A337='月度總覽'!$B$8,'月度總覽'!$B$9,0))</f>
        <v/>
      </c>
      <c r="E337" s="40" t="str">
        <f>IF(A337="","",SUMIFS('收支明細'!$E:$E,'收支明細'!$B:$B,"收入",'收支明細'!$A:$A,A337))</f>
        <v/>
      </c>
      <c r="F337" s="40" t="str">
        <f>IF(A337="","",SUMIFS('固定支出'!$C:$C,'固定支出'!$G:$G,"是",'固定支出'!$D:$D,A337))</f>
        <v/>
      </c>
      <c r="G337" s="40" t="str">
        <f>IF(A337="","",SUMIFS('收支明細'!$E:$E,'收支明細'!$B:$B,"支出",'收支明細'!$A:$A,A337))</f>
        <v/>
      </c>
      <c r="H337" s="40" t="str">
        <f>IF(OR(A337="",A337&lt;'月度總覽'!$F$6),0,'月度總覽'!$F$13)</f>
        <v>0.00</v>
      </c>
      <c r="I337" s="40" t="str">
        <f t="shared" si="2"/>
        <v/>
      </c>
      <c r="J337" s="40" t="str">
        <f>IF(OR(A337="",A337&lt;'月度總覽'!$F$6),"",'月度總覽'!$F$12-SUM($H$5:H337)+IF(AND('月度總覽'!$B$10="到帳日自動計入",'月度總覽'!$B$8&gt;'月度總覽'!$B$7,'月度總覽'!$B$8&lt;=A337),'月度總覽'!$B$9,0)+SUMIFS($E$5:E337,$A$5:A337,"&gt;"&amp;'月度總覽'!$B$7)-SUMIFS($G$5:G337,$A$5:A337,"&gt;"&amp;'月度總覽'!$B$7))</f>
        <v/>
      </c>
    </row>
    <row r="338" ht="15.75" customHeight="1">
      <c r="A338" s="39" t="str">
        <f>IF(334&lt;='月度總覽'!$F$5,'月度總覽'!$B$5+334-1,"")</f>
        <v/>
      </c>
      <c r="B338" t="str">
        <f t="shared" si="1"/>
        <v/>
      </c>
      <c r="C338" t="str">
        <f>IF(A338="","",IF(A338&lt;'月度總覽'!$F$6,"已過",IF(A338='月度總覽'!$F$6,"基準日","未來")))</f>
        <v/>
      </c>
      <c r="D338" s="40" t="str">
        <f>IF(A338="","",IF(A338='月度總覽'!$B$8,'月度總覽'!$B$9,0))</f>
        <v/>
      </c>
      <c r="E338" s="40" t="str">
        <f>IF(A338="","",SUMIFS('收支明細'!$E:$E,'收支明細'!$B:$B,"收入",'收支明細'!$A:$A,A338))</f>
        <v/>
      </c>
      <c r="F338" s="40" t="str">
        <f>IF(A338="","",SUMIFS('固定支出'!$C:$C,'固定支出'!$G:$G,"是",'固定支出'!$D:$D,A338))</f>
        <v/>
      </c>
      <c r="G338" s="40" t="str">
        <f>IF(A338="","",SUMIFS('收支明細'!$E:$E,'收支明細'!$B:$B,"支出",'收支明細'!$A:$A,A338))</f>
        <v/>
      </c>
      <c r="H338" s="40" t="str">
        <f>IF(OR(A338="",A338&lt;'月度總覽'!$F$6),0,'月度總覽'!$F$13)</f>
        <v>0.00</v>
      </c>
      <c r="I338" s="40" t="str">
        <f t="shared" si="2"/>
        <v/>
      </c>
      <c r="J338" s="40" t="str">
        <f>IF(OR(A338="",A338&lt;'月度總覽'!$F$6),"",'月度總覽'!$F$12-SUM($H$5:H338)+IF(AND('月度總覽'!$B$10="到帳日自動計入",'月度總覽'!$B$8&gt;'月度總覽'!$B$7,'月度總覽'!$B$8&lt;=A338),'月度總覽'!$B$9,0)+SUMIFS($E$5:E338,$A$5:A338,"&gt;"&amp;'月度總覽'!$B$7)-SUMIFS($G$5:G338,$A$5:A338,"&gt;"&amp;'月度總覽'!$B$7))</f>
        <v/>
      </c>
    </row>
    <row r="339" ht="15.75" customHeight="1">
      <c r="A339" s="39" t="str">
        <f>IF(335&lt;='月度總覽'!$F$5,'月度總覽'!$B$5+335-1,"")</f>
        <v/>
      </c>
      <c r="B339" t="str">
        <f t="shared" si="1"/>
        <v/>
      </c>
      <c r="C339" t="str">
        <f>IF(A339="","",IF(A339&lt;'月度總覽'!$F$6,"已過",IF(A339='月度總覽'!$F$6,"基準日","未來")))</f>
        <v/>
      </c>
      <c r="D339" s="40" t="str">
        <f>IF(A339="","",IF(A339='月度總覽'!$B$8,'月度總覽'!$B$9,0))</f>
        <v/>
      </c>
      <c r="E339" s="40" t="str">
        <f>IF(A339="","",SUMIFS('收支明細'!$E:$E,'收支明細'!$B:$B,"收入",'收支明細'!$A:$A,A339))</f>
        <v/>
      </c>
      <c r="F339" s="40" t="str">
        <f>IF(A339="","",SUMIFS('固定支出'!$C:$C,'固定支出'!$G:$G,"是",'固定支出'!$D:$D,A339))</f>
        <v/>
      </c>
      <c r="G339" s="40" t="str">
        <f>IF(A339="","",SUMIFS('收支明細'!$E:$E,'收支明細'!$B:$B,"支出",'收支明細'!$A:$A,A339))</f>
        <v/>
      </c>
      <c r="H339" s="40" t="str">
        <f>IF(OR(A339="",A339&lt;'月度總覽'!$F$6),0,'月度總覽'!$F$13)</f>
        <v>0.00</v>
      </c>
      <c r="I339" s="40" t="str">
        <f t="shared" si="2"/>
        <v/>
      </c>
      <c r="J339" s="40" t="str">
        <f>IF(OR(A339="",A339&lt;'月度總覽'!$F$6),"",'月度總覽'!$F$12-SUM($H$5:H339)+IF(AND('月度總覽'!$B$10="到帳日自動計入",'月度總覽'!$B$8&gt;'月度總覽'!$B$7,'月度總覽'!$B$8&lt;=A339),'月度總覽'!$B$9,0)+SUMIFS($E$5:E339,$A$5:A339,"&gt;"&amp;'月度總覽'!$B$7)-SUMIFS($G$5:G339,$A$5:A339,"&gt;"&amp;'月度總覽'!$B$7))</f>
        <v/>
      </c>
    </row>
    <row r="340" ht="15.75" customHeight="1">
      <c r="A340" s="39" t="str">
        <f>IF(336&lt;='月度總覽'!$F$5,'月度總覽'!$B$5+336-1,"")</f>
        <v/>
      </c>
      <c r="B340" t="str">
        <f t="shared" si="1"/>
        <v/>
      </c>
      <c r="C340" t="str">
        <f>IF(A340="","",IF(A340&lt;'月度總覽'!$F$6,"已過",IF(A340='月度總覽'!$F$6,"基準日","未來")))</f>
        <v/>
      </c>
      <c r="D340" s="40" t="str">
        <f>IF(A340="","",IF(A340='月度總覽'!$B$8,'月度總覽'!$B$9,0))</f>
        <v/>
      </c>
      <c r="E340" s="40" t="str">
        <f>IF(A340="","",SUMIFS('收支明細'!$E:$E,'收支明細'!$B:$B,"收入",'收支明細'!$A:$A,A340))</f>
        <v/>
      </c>
      <c r="F340" s="40" t="str">
        <f>IF(A340="","",SUMIFS('固定支出'!$C:$C,'固定支出'!$G:$G,"是",'固定支出'!$D:$D,A340))</f>
        <v/>
      </c>
      <c r="G340" s="40" t="str">
        <f>IF(A340="","",SUMIFS('收支明細'!$E:$E,'收支明細'!$B:$B,"支出",'收支明細'!$A:$A,A340))</f>
        <v/>
      </c>
      <c r="H340" s="40" t="str">
        <f>IF(OR(A340="",A340&lt;'月度總覽'!$F$6),0,'月度總覽'!$F$13)</f>
        <v>0.00</v>
      </c>
      <c r="I340" s="40" t="str">
        <f t="shared" si="2"/>
        <v/>
      </c>
      <c r="J340" s="40" t="str">
        <f>IF(OR(A340="",A340&lt;'月度總覽'!$F$6),"",'月度總覽'!$F$12-SUM($H$5:H340)+IF(AND('月度總覽'!$B$10="到帳日自動計入",'月度總覽'!$B$8&gt;'月度總覽'!$B$7,'月度總覽'!$B$8&lt;=A340),'月度總覽'!$B$9,0)+SUMIFS($E$5:E340,$A$5:A340,"&gt;"&amp;'月度總覽'!$B$7)-SUMIFS($G$5:G340,$A$5:A340,"&gt;"&amp;'月度總覽'!$B$7))</f>
        <v/>
      </c>
    </row>
    <row r="341" ht="15.75" customHeight="1">
      <c r="A341" s="39" t="str">
        <f>IF(337&lt;='月度總覽'!$F$5,'月度總覽'!$B$5+337-1,"")</f>
        <v/>
      </c>
      <c r="B341" t="str">
        <f t="shared" si="1"/>
        <v/>
      </c>
      <c r="C341" t="str">
        <f>IF(A341="","",IF(A341&lt;'月度總覽'!$F$6,"已過",IF(A341='月度總覽'!$F$6,"基準日","未來")))</f>
        <v/>
      </c>
      <c r="D341" s="40" t="str">
        <f>IF(A341="","",IF(A341='月度總覽'!$B$8,'月度總覽'!$B$9,0))</f>
        <v/>
      </c>
      <c r="E341" s="40" t="str">
        <f>IF(A341="","",SUMIFS('收支明細'!$E:$E,'收支明細'!$B:$B,"收入",'收支明細'!$A:$A,A341))</f>
        <v/>
      </c>
      <c r="F341" s="40" t="str">
        <f>IF(A341="","",SUMIFS('固定支出'!$C:$C,'固定支出'!$G:$G,"是",'固定支出'!$D:$D,A341))</f>
        <v/>
      </c>
      <c r="G341" s="40" t="str">
        <f>IF(A341="","",SUMIFS('收支明細'!$E:$E,'收支明細'!$B:$B,"支出",'收支明細'!$A:$A,A341))</f>
        <v/>
      </c>
      <c r="H341" s="40" t="str">
        <f>IF(OR(A341="",A341&lt;'月度總覽'!$F$6),0,'月度總覽'!$F$13)</f>
        <v>0.00</v>
      </c>
      <c r="I341" s="40" t="str">
        <f t="shared" si="2"/>
        <v/>
      </c>
      <c r="J341" s="40" t="str">
        <f>IF(OR(A341="",A341&lt;'月度總覽'!$F$6),"",'月度總覽'!$F$12-SUM($H$5:H341)+IF(AND('月度總覽'!$B$10="到帳日自動計入",'月度總覽'!$B$8&gt;'月度總覽'!$B$7,'月度總覽'!$B$8&lt;=A341),'月度總覽'!$B$9,0)+SUMIFS($E$5:E341,$A$5:A341,"&gt;"&amp;'月度總覽'!$B$7)-SUMIFS($G$5:G341,$A$5:A341,"&gt;"&amp;'月度總覽'!$B$7))</f>
        <v/>
      </c>
    </row>
    <row r="342" ht="15.75" customHeight="1">
      <c r="A342" s="39" t="str">
        <f>IF(338&lt;='月度總覽'!$F$5,'月度總覽'!$B$5+338-1,"")</f>
        <v/>
      </c>
      <c r="B342" t="str">
        <f t="shared" si="1"/>
        <v/>
      </c>
      <c r="C342" t="str">
        <f>IF(A342="","",IF(A342&lt;'月度總覽'!$F$6,"已過",IF(A342='月度總覽'!$F$6,"基準日","未來")))</f>
        <v/>
      </c>
      <c r="D342" s="40" t="str">
        <f>IF(A342="","",IF(A342='月度總覽'!$B$8,'月度總覽'!$B$9,0))</f>
        <v/>
      </c>
      <c r="E342" s="40" t="str">
        <f>IF(A342="","",SUMIFS('收支明細'!$E:$E,'收支明細'!$B:$B,"收入",'收支明細'!$A:$A,A342))</f>
        <v/>
      </c>
      <c r="F342" s="40" t="str">
        <f>IF(A342="","",SUMIFS('固定支出'!$C:$C,'固定支出'!$G:$G,"是",'固定支出'!$D:$D,A342))</f>
        <v/>
      </c>
      <c r="G342" s="40" t="str">
        <f>IF(A342="","",SUMIFS('收支明細'!$E:$E,'收支明細'!$B:$B,"支出",'收支明細'!$A:$A,A342))</f>
        <v/>
      </c>
      <c r="H342" s="40" t="str">
        <f>IF(OR(A342="",A342&lt;'月度總覽'!$F$6),0,'月度總覽'!$F$13)</f>
        <v>0.00</v>
      </c>
      <c r="I342" s="40" t="str">
        <f t="shared" si="2"/>
        <v/>
      </c>
      <c r="J342" s="40" t="str">
        <f>IF(OR(A342="",A342&lt;'月度總覽'!$F$6),"",'月度總覽'!$F$12-SUM($H$5:H342)+IF(AND('月度總覽'!$B$10="到帳日自動計入",'月度總覽'!$B$8&gt;'月度總覽'!$B$7,'月度總覽'!$B$8&lt;=A342),'月度總覽'!$B$9,0)+SUMIFS($E$5:E342,$A$5:A342,"&gt;"&amp;'月度總覽'!$B$7)-SUMIFS($G$5:G342,$A$5:A342,"&gt;"&amp;'月度總覽'!$B$7))</f>
        <v/>
      </c>
    </row>
    <row r="343" ht="15.75" customHeight="1">
      <c r="A343" s="39" t="str">
        <f>IF(339&lt;='月度總覽'!$F$5,'月度總覽'!$B$5+339-1,"")</f>
        <v/>
      </c>
      <c r="B343" t="str">
        <f t="shared" si="1"/>
        <v/>
      </c>
      <c r="C343" t="str">
        <f>IF(A343="","",IF(A343&lt;'月度總覽'!$F$6,"已過",IF(A343='月度總覽'!$F$6,"基準日","未來")))</f>
        <v/>
      </c>
      <c r="D343" s="40" t="str">
        <f>IF(A343="","",IF(A343='月度總覽'!$B$8,'月度總覽'!$B$9,0))</f>
        <v/>
      </c>
      <c r="E343" s="40" t="str">
        <f>IF(A343="","",SUMIFS('收支明細'!$E:$E,'收支明細'!$B:$B,"收入",'收支明細'!$A:$A,A343))</f>
        <v/>
      </c>
      <c r="F343" s="40" t="str">
        <f>IF(A343="","",SUMIFS('固定支出'!$C:$C,'固定支出'!$G:$G,"是",'固定支出'!$D:$D,A343))</f>
        <v/>
      </c>
      <c r="G343" s="40" t="str">
        <f>IF(A343="","",SUMIFS('收支明細'!$E:$E,'收支明細'!$B:$B,"支出",'收支明細'!$A:$A,A343))</f>
        <v/>
      </c>
      <c r="H343" s="40" t="str">
        <f>IF(OR(A343="",A343&lt;'月度總覽'!$F$6),0,'月度總覽'!$F$13)</f>
        <v>0.00</v>
      </c>
      <c r="I343" s="40" t="str">
        <f t="shared" si="2"/>
        <v/>
      </c>
      <c r="J343" s="40" t="str">
        <f>IF(OR(A343="",A343&lt;'月度總覽'!$F$6),"",'月度總覽'!$F$12-SUM($H$5:H343)+IF(AND('月度總覽'!$B$10="到帳日自動計入",'月度總覽'!$B$8&gt;'月度總覽'!$B$7,'月度總覽'!$B$8&lt;=A343),'月度總覽'!$B$9,0)+SUMIFS($E$5:E343,$A$5:A343,"&gt;"&amp;'月度總覽'!$B$7)-SUMIFS($G$5:G343,$A$5:A343,"&gt;"&amp;'月度總覽'!$B$7))</f>
        <v/>
      </c>
    </row>
    <row r="344" ht="15.75" customHeight="1">
      <c r="A344" s="39" t="str">
        <f>IF(340&lt;='月度總覽'!$F$5,'月度總覽'!$B$5+340-1,"")</f>
        <v/>
      </c>
      <c r="B344" t="str">
        <f t="shared" si="1"/>
        <v/>
      </c>
      <c r="C344" t="str">
        <f>IF(A344="","",IF(A344&lt;'月度總覽'!$F$6,"已過",IF(A344='月度總覽'!$F$6,"基準日","未來")))</f>
        <v/>
      </c>
      <c r="D344" s="40" t="str">
        <f>IF(A344="","",IF(A344='月度總覽'!$B$8,'月度總覽'!$B$9,0))</f>
        <v/>
      </c>
      <c r="E344" s="40" t="str">
        <f>IF(A344="","",SUMIFS('收支明細'!$E:$E,'收支明細'!$B:$B,"收入",'收支明細'!$A:$A,A344))</f>
        <v/>
      </c>
      <c r="F344" s="40" t="str">
        <f>IF(A344="","",SUMIFS('固定支出'!$C:$C,'固定支出'!$G:$G,"是",'固定支出'!$D:$D,A344))</f>
        <v/>
      </c>
      <c r="G344" s="40" t="str">
        <f>IF(A344="","",SUMIFS('收支明細'!$E:$E,'收支明細'!$B:$B,"支出",'收支明細'!$A:$A,A344))</f>
        <v/>
      </c>
      <c r="H344" s="40" t="str">
        <f>IF(OR(A344="",A344&lt;'月度總覽'!$F$6),0,'月度總覽'!$F$13)</f>
        <v>0.00</v>
      </c>
      <c r="I344" s="40" t="str">
        <f t="shared" si="2"/>
        <v/>
      </c>
      <c r="J344" s="40" t="str">
        <f>IF(OR(A344="",A344&lt;'月度總覽'!$F$6),"",'月度總覽'!$F$12-SUM($H$5:H344)+IF(AND('月度總覽'!$B$10="到帳日自動計入",'月度總覽'!$B$8&gt;'月度總覽'!$B$7,'月度總覽'!$B$8&lt;=A344),'月度總覽'!$B$9,0)+SUMIFS($E$5:E344,$A$5:A344,"&gt;"&amp;'月度總覽'!$B$7)-SUMIFS($G$5:G344,$A$5:A344,"&gt;"&amp;'月度總覽'!$B$7))</f>
        <v/>
      </c>
    </row>
    <row r="345" ht="15.75" customHeight="1">
      <c r="A345" s="39" t="str">
        <f>IF(341&lt;='月度總覽'!$F$5,'月度總覽'!$B$5+341-1,"")</f>
        <v/>
      </c>
      <c r="B345" t="str">
        <f t="shared" si="1"/>
        <v/>
      </c>
      <c r="C345" t="str">
        <f>IF(A345="","",IF(A345&lt;'月度總覽'!$F$6,"已過",IF(A345='月度總覽'!$F$6,"基準日","未來")))</f>
        <v/>
      </c>
      <c r="D345" s="40" t="str">
        <f>IF(A345="","",IF(A345='月度總覽'!$B$8,'月度總覽'!$B$9,0))</f>
        <v/>
      </c>
      <c r="E345" s="40" t="str">
        <f>IF(A345="","",SUMIFS('收支明細'!$E:$E,'收支明細'!$B:$B,"收入",'收支明細'!$A:$A,A345))</f>
        <v/>
      </c>
      <c r="F345" s="40" t="str">
        <f>IF(A345="","",SUMIFS('固定支出'!$C:$C,'固定支出'!$G:$G,"是",'固定支出'!$D:$D,A345))</f>
        <v/>
      </c>
      <c r="G345" s="40" t="str">
        <f>IF(A345="","",SUMIFS('收支明細'!$E:$E,'收支明細'!$B:$B,"支出",'收支明細'!$A:$A,A345))</f>
        <v/>
      </c>
      <c r="H345" s="40" t="str">
        <f>IF(OR(A345="",A345&lt;'月度總覽'!$F$6),0,'月度總覽'!$F$13)</f>
        <v>0.00</v>
      </c>
      <c r="I345" s="40" t="str">
        <f t="shared" si="2"/>
        <v/>
      </c>
      <c r="J345" s="40" t="str">
        <f>IF(OR(A345="",A345&lt;'月度總覽'!$F$6),"",'月度總覽'!$F$12-SUM($H$5:H345)+IF(AND('月度總覽'!$B$10="到帳日自動計入",'月度總覽'!$B$8&gt;'月度總覽'!$B$7,'月度總覽'!$B$8&lt;=A345),'月度總覽'!$B$9,0)+SUMIFS($E$5:E345,$A$5:A345,"&gt;"&amp;'月度總覽'!$B$7)-SUMIFS($G$5:G345,$A$5:A345,"&gt;"&amp;'月度總覽'!$B$7))</f>
        <v/>
      </c>
    </row>
    <row r="346" ht="15.75" customHeight="1">
      <c r="A346" s="39" t="str">
        <f>IF(342&lt;='月度總覽'!$F$5,'月度總覽'!$B$5+342-1,"")</f>
        <v/>
      </c>
      <c r="B346" t="str">
        <f t="shared" si="1"/>
        <v/>
      </c>
      <c r="C346" t="str">
        <f>IF(A346="","",IF(A346&lt;'月度總覽'!$F$6,"已過",IF(A346='月度總覽'!$F$6,"基準日","未來")))</f>
        <v/>
      </c>
      <c r="D346" s="40" t="str">
        <f>IF(A346="","",IF(A346='月度總覽'!$B$8,'月度總覽'!$B$9,0))</f>
        <v/>
      </c>
      <c r="E346" s="40" t="str">
        <f>IF(A346="","",SUMIFS('收支明細'!$E:$E,'收支明細'!$B:$B,"收入",'收支明細'!$A:$A,A346))</f>
        <v/>
      </c>
      <c r="F346" s="40" t="str">
        <f>IF(A346="","",SUMIFS('固定支出'!$C:$C,'固定支出'!$G:$G,"是",'固定支出'!$D:$D,A346))</f>
        <v/>
      </c>
      <c r="G346" s="40" t="str">
        <f>IF(A346="","",SUMIFS('收支明細'!$E:$E,'收支明細'!$B:$B,"支出",'收支明細'!$A:$A,A346))</f>
        <v/>
      </c>
      <c r="H346" s="40" t="str">
        <f>IF(OR(A346="",A346&lt;'月度總覽'!$F$6),0,'月度總覽'!$F$13)</f>
        <v>0.00</v>
      </c>
      <c r="I346" s="40" t="str">
        <f t="shared" si="2"/>
        <v/>
      </c>
      <c r="J346" s="40" t="str">
        <f>IF(OR(A346="",A346&lt;'月度總覽'!$F$6),"",'月度總覽'!$F$12-SUM($H$5:H346)+IF(AND('月度總覽'!$B$10="到帳日自動計入",'月度總覽'!$B$8&gt;'月度總覽'!$B$7,'月度總覽'!$B$8&lt;=A346),'月度總覽'!$B$9,0)+SUMIFS($E$5:E346,$A$5:A346,"&gt;"&amp;'月度總覽'!$B$7)-SUMIFS($G$5:G346,$A$5:A346,"&gt;"&amp;'月度總覽'!$B$7))</f>
        <v/>
      </c>
    </row>
    <row r="347" ht="15.75" customHeight="1">
      <c r="A347" s="39" t="str">
        <f>IF(343&lt;='月度總覽'!$F$5,'月度總覽'!$B$5+343-1,"")</f>
        <v/>
      </c>
      <c r="B347" t="str">
        <f t="shared" si="1"/>
        <v/>
      </c>
      <c r="C347" t="str">
        <f>IF(A347="","",IF(A347&lt;'月度總覽'!$F$6,"已過",IF(A347='月度總覽'!$F$6,"基準日","未來")))</f>
        <v/>
      </c>
      <c r="D347" s="40" t="str">
        <f>IF(A347="","",IF(A347='月度總覽'!$B$8,'月度總覽'!$B$9,0))</f>
        <v/>
      </c>
      <c r="E347" s="40" t="str">
        <f>IF(A347="","",SUMIFS('收支明細'!$E:$E,'收支明細'!$B:$B,"收入",'收支明細'!$A:$A,A347))</f>
        <v/>
      </c>
      <c r="F347" s="40" t="str">
        <f>IF(A347="","",SUMIFS('固定支出'!$C:$C,'固定支出'!$G:$G,"是",'固定支出'!$D:$D,A347))</f>
        <v/>
      </c>
      <c r="G347" s="40" t="str">
        <f>IF(A347="","",SUMIFS('收支明細'!$E:$E,'收支明細'!$B:$B,"支出",'收支明細'!$A:$A,A347))</f>
        <v/>
      </c>
      <c r="H347" s="40" t="str">
        <f>IF(OR(A347="",A347&lt;'月度總覽'!$F$6),0,'月度總覽'!$F$13)</f>
        <v>0.00</v>
      </c>
      <c r="I347" s="40" t="str">
        <f t="shared" si="2"/>
        <v/>
      </c>
      <c r="J347" s="40" t="str">
        <f>IF(OR(A347="",A347&lt;'月度總覽'!$F$6),"",'月度總覽'!$F$12-SUM($H$5:H347)+IF(AND('月度總覽'!$B$10="到帳日自動計入",'月度總覽'!$B$8&gt;'月度總覽'!$B$7,'月度總覽'!$B$8&lt;=A347),'月度總覽'!$B$9,0)+SUMIFS($E$5:E347,$A$5:A347,"&gt;"&amp;'月度總覽'!$B$7)-SUMIFS($G$5:G347,$A$5:A347,"&gt;"&amp;'月度總覽'!$B$7))</f>
        <v/>
      </c>
    </row>
    <row r="348" ht="15.75" customHeight="1">
      <c r="A348" s="39" t="str">
        <f>IF(344&lt;='月度總覽'!$F$5,'月度總覽'!$B$5+344-1,"")</f>
        <v/>
      </c>
      <c r="B348" t="str">
        <f t="shared" si="1"/>
        <v/>
      </c>
      <c r="C348" t="str">
        <f>IF(A348="","",IF(A348&lt;'月度總覽'!$F$6,"已過",IF(A348='月度總覽'!$F$6,"基準日","未來")))</f>
        <v/>
      </c>
      <c r="D348" s="40" t="str">
        <f>IF(A348="","",IF(A348='月度總覽'!$B$8,'月度總覽'!$B$9,0))</f>
        <v/>
      </c>
      <c r="E348" s="40" t="str">
        <f>IF(A348="","",SUMIFS('收支明細'!$E:$E,'收支明細'!$B:$B,"收入",'收支明細'!$A:$A,A348))</f>
        <v/>
      </c>
      <c r="F348" s="40" t="str">
        <f>IF(A348="","",SUMIFS('固定支出'!$C:$C,'固定支出'!$G:$G,"是",'固定支出'!$D:$D,A348))</f>
        <v/>
      </c>
      <c r="G348" s="40" t="str">
        <f>IF(A348="","",SUMIFS('收支明細'!$E:$E,'收支明細'!$B:$B,"支出",'收支明細'!$A:$A,A348))</f>
        <v/>
      </c>
      <c r="H348" s="40" t="str">
        <f>IF(OR(A348="",A348&lt;'月度總覽'!$F$6),0,'月度總覽'!$F$13)</f>
        <v>0.00</v>
      </c>
      <c r="I348" s="40" t="str">
        <f t="shared" si="2"/>
        <v/>
      </c>
      <c r="J348" s="40" t="str">
        <f>IF(OR(A348="",A348&lt;'月度總覽'!$F$6),"",'月度總覽'!$F$12-SUM($H$5:H348)+IF(AND('月度總覽'!$B$10="到帳日自動計入",'月度總覽'!$B$8&gt;'月度總覽'!$B$7,'月度總覽'!$B$8&lt;=A348),'月度總覽'!$B$9,0)+SUMIFS($E$5:E348,$A$5:A348,"&gt;"&amp;'月度總覽'!$B$7)-SUMIFS($G$5:G348,$A$5:A348,"&gt;"&amp;'月度總覽'!$B$7))</f>
        <v/>
      </c>
    </row>
    <row r="349" ht="15.75" customHeight="1">
      <c r="A349" s="39" t="str">
        <f>IF(345&lt;='月度總覽'!$F$5,'月度總覽'!$B$5+345-1,"")</f>
        <v/>
      </c>
      <c r="B349" t="str">
        <f t="shared" si="1"/>
        <v/>
      </c>
      <c r="C349" t="str">
        <f>IF(A349="","",IF(A349&lt;'月度總覽'!$F$6,"已過",IF(A349='月度總覽'!$F$6,"基準日","未來")))</f>
        <v/>
      </c>
      <c r="D349" s="40" t="str">
        <f>IF(A349="","",IF(A349='月度總覽'!$B$8,'月度總覽'!$B$9,0))</f>
        <v/>
      </c>
      <c r="E349" s="40" t="str">
        <f>IF(A349="","",SUMIFS('收支明細'!$E:$E,'收支明細'!$B:$B,"收入",'收支明細'!$A:$A,A349))</f>
        <v/>
      </c>
      <c r="F349" s="40" t="str">
        <f>IF(A349="","",SUMIFS('固定支出'!$C:$C,'固定支出'!$G:$G,"是",'固定支出'!$D:$D,A349))</f>
        <v/>
      </c>
      <c r="G349" s="40" t="str">
        <f>IF(A349="","",SUMIFS('收支明細'!$E:$E,'收支明細'!$B:$B,"支出",'收支明細'!$A:$A,A349))</f>
        <v/>
      </c>
      <c r="H349" s="40" t="str">
        <f>IF(OR(A349="",A349&lt;'月度總覽'!$F$6),0,'月度總覽'!$F$13)</f>
        <v>0.00</v>
      </c>
      <c r="I349" s="40" t="str">
        <f t="shared" si="2"/>
        <v/>
      </c>
      <c r="J349" s="40" t="str">
        <f>IF(OR(A349="",A349&lt;'月度總覽'!$F$6),"",'月度總覽'!$F$12-SUM($H$5:H349)+IF(AND('月度總覽'!$B$10="到帳日自動計入",'月度總覽'!$B$8&gt;'月度總覽'!$B$7,'月度總覽'!$B$8&lt;=A349),'月度總覽'!$B$9,0)+SUMIFS($E$5:E349,$A$5:A349,"&gt;"&amp;'月度總覽'!$B$7)-SUMIFS($G$5:G349,$A$5:A349,"&gt;"&amp;'月度總覽'!$B$7))</f>
        <v/>
      </c>
    </row>
    <row r="350" ht="15.75" customHeight="1">
      <c r="A350" s="39" t="str">
        <f>IF(346&lt;='月度總覽'!$F$5,'月度總覽'!$B$5+346-1,"")</f>
        <v/>
      </c>
      <c r="B350" t="str">
        <f t="shared" si="1"/>
        <v/>
      </c>
      <c r="C350" t="str">
        <f>IF(A350="","",IF(A350&lt;'月度總覽'!$F$6,"已過",IF(A350='月度總覽'!$F$6,"基準日","未來")))</f>
        <v/>
      </c>
      <c r="D350" s="40" t="str">
        <f>IF(A350="","",IF(A350='月度總覽'!$B$8,'月度總覽'!$B$9,0))</f>
        <v/>
      </c>
      <c r="E350" s="40" t="str">
        <f>IF(A350="","",SUMIFS('收支明細'!$E:$E,'收支明細'!$B:$B,"收入",'收支明細'!$A:$A,A350))</f>
        <v/>
      </c>
      <c r="F350" s="40" t="str">
        <f>IF(A350="","",SUMIFS('固定支出'!$C:$C,'固定支出'!$G:$G,"是",'固定支出'!$D:$D,A350))</f>
        <v/>
      </c>
      <c r="G350" s="40" t="str">
        <f>IF(A350="","",SUMIFS('收支明細'!$E:$E,'收支明細'!$B:$B,"支出",'收支明細'!$A:$A,A350))</f>
        <v/>
      </c>
      <c r="H350" s="40" t="str">
        <f>IF(OR(A350="",A350&lt;'月度總覽'!$F$6),0,'月度總覽'!$F$13)</f>
        <v>0.00</v>
      </c>
      <c r="I350" s="40" t="str">
        <f t="shared" si="2"/>
        <v/>
      </c>
      <c r="J350" s="40" t="str">
        <f>IF(OR(A350="",A350&lt;'月度總覽'!$F$6),"",'月度總覽'!$F$12-SUM($H$5:H350)+IF(AND('月度總覽'!$B$10="到帳日自動計入",'月度總覽'!$B$8&gt;'月度總覽'!$B$7,'月度總覽'!$B$8&lt;=A350),'月度總覽'!$B$9,0)+SUMIFS($E$5:E350,$A$5:A350,"&gt;"&amp;'月度總覽'!$B$7)-SUMIFS($G$5:G350,$A$5:A350,"&gt;"&amp;'月度總覽'!$B$7))</f>
        <v/>
      </c>
    </row>
    <row r="351" ht="15.75" customHeight="1">
      <c r="A351" s="39" t="str">
        <f>IF(347&lt;='月度總覽'!$F$5,'月度總覽'!$B$5+347-1,"")</f>
        <v/>
      </c>
      <c r="B351" t="str">
        <f t="shared" si="1"/>
        <v/>
      </c>
      <c r="C351" t="str">
        <f>IF(A351="","",IF(A351&lt;'月度總覽'!$F$6,"已過",IF(A351='月度總覽'!$F$6,"基準日","未來")))</f>
        <v/>
      </c>
      <c r="D351" s="40" t="str">
        <f>IF(A351="","",IF(A351='月度總覽'!$B$8,'月度總覽'!$B$9,0))</f>
        <v/>
      </c>
      <c r="E351" s="40" t="str">
        <f>IF(A351="","",SUMIFS('收支明細'!$E:$E,'收支明細'!$B:$B,"收入",'收支明細'!$A:$A,A351))</f>
        <v/>
      </c>
      <c r="F351" s="40" t="str">
        <f>IF(A351="","",SUMIFS('固定支出'!$C:$C,'固定支出'!$G:$G,"是",'固定支出'!$D:$D,A351))</f>
        <v/>
      </c>
      <c r="G351" s="40" t="str">
        <f>IF(A351="","",SUMIFS('收支明細'!$E:$E,'收支明細'!$B:$B,"支出",'收支明細'!$A:$A,A351))</f>
        <v/>
      </c>
      <c r="H351" s="40" t="str">
        <f>IF(OR(A351="",A351&lt;'月度總覽'!$F$6),0,'月度總覽'!$F$13)</f>
        <v>0.00</v>
      </c>
      <c r="I351" s="40" t="str">
        <f t="shared" si="2"/>
        <v/>
      </c>
      <c r="J351" s="40" t="str">
        <f>IF(OR(A351="",A351&lt;'月度總覽'!$F$6),"",'月度總覽'!$F$12-SUM($H$5:H351)+IF(AND('月度總覽'!$B$10="到帳日自動計入",'月度總覽'!$B$8&gt;'月度總覽'!$B$7,'月度總覽'!$B$8&lt;=A351),'月度總覽'!$B$9,0)+SUMIFS($E$5:E351,$A$5:A351,"&gt;"&amp;'月度總覽'!$B$7)-SUMIFS($G$5:G351,$A$5:A351,"&gt;"&amp;'月度總覽'!$B$7))</f>
        <v/>
      </c>
    </row>
    <row r="352" ht="15.75" customHeight="1">
      <c r="A352" s="39" t="str">
        <f>IF(348&lt;='月度總覽'!$F$5,'月度總覽'!$B$5+348-1,"")</f>
        <v/>
      </c>
      <c r="B352" t="str">
        <f t="shared" si="1"/>
        <v/>
      </c>
      <c r="C352" t="str">
        <f>IF(A352="","",IF(A352&lt;'月度總覽'!$F$6,"已過",IF(A352='月度總覽'!$F$6,"基準日","未來")))</f>
        <v/>
      </c>
      <c r="D352" s="40" t="str">
        <f>IF(A352="","",IF(A352='月度總覽'!$B$8,'月度總覽'!$B$9,0))</f>
        <v/>
      </c>
      <c r="E352" s="40" t="str">
        <f>IF(A352="","",SUMIFS('收支明細'!$E:$E,'收支明細'!$B:$B,"收入",'收支明細'!$A:$A,A352))</f>
        <v/>
      </c>
      <c r="F352" s="40" t="str">
        <f>IF(A352="","",SUMIFS('固定支出'!$C:$C,'固定支出'!$G:$G,"是",'固定支出'!$D:$D,A352))</f>
        <v/>
      </c>
      <c r="G352" s="40" t="str">
        <f>IF(A352="","",SUMIFS('收支明細'!$E:$E,'收支明細'!$B:$B,"支出",'收支明細'!$A:$A,A352))</f>
        <v/>
      </c>
      <c r="H352" s="40" t="str">
        <f>IF(OR(A352="",A352&lt;'月度總覽'!$F$6),0,'月度總覽'!$F$13)</f>
        <v>0.00</v>
      </c>
      <c r="I352" s="40" t="str">
        <f t="shared" si="2"/>
        <v/>
      </c>
      <c r="J352" s="40" t="str">
        <f>IF(OR(A352="",A352&lt;'月度總覽'!$F$6),"",'月度總覽'!$F$12-SUM($H$5:H352)+IF(AND('月度總覽'!$B$10="到帳日自動計入",'月度總覽'!$B$8&gt;'月度總覽'!$B$7,'月度總覽'!$B$8&lt;=A352),'月度總覽'!$B$9,0)+SUMIFS($E$5:E352,$A$5:A352,"&gt;"&amp;'月度總覽'!$B$7)-SUMIFS($G$5:G352,$A$5:A352,"&gt;"&amp;'月度總覽'!$B$7))</f>
        <v/>
      </c>
    </row>
    <row r="353" ht="15.75" customHeight="1">
      <c r="A353" s="39" t="str">
        <f>IF(349&lt;='月度總覽'!$F$5,'月度總覽'!$B$5+349-1,"")</f>
        <v/>
      </c>
      <c r="B353" t="str">
        <f t="shared" si="1"/>
        <v/>
      </c>
      <c r="C353" t="str">
        <f>IF(A353="","",IF(A353&lt;'月度總覽'!$F$6,"已過",IF(A353='月度總覽'!$F$6,"基準日","未來")))</f>
        <v/>
      </c>
      <c r="D353" s="40" t="str">
        <f>IF(A353="","",IF(A353='月度總覽'!$B$8,'月度總覽'!$B$9,0))</f>
        <v/>
      </c>
      <c r="E353" s="40" t="str">
        <f>IF(A353="","",SUMIFS('收支明細'!$E:$E,'收支明細'!$B:$B,"收入",'收支明細'!$A:$A,A353))</f>
        <v/>
      </c>
      <c r="F353" s="40" t="str">
        <f>IF(A353="","",SUMIFS('固定支出'!$C:$C,'固定支出'!$G:$G,"是",'固定支出'!$D:$D,A353))</f>
        <v/>
      </c>
      <c r="G353" s="40" t="str">
        <f>IF(A353="","",SUMIFS('收支明細'!$E:$E,'收支明細'!$B:$B,"支出",'收支明細'!$A:$A,A353))</f>
        <v/>
      </c>
      <c r="H353" s="40" t="str">
        <f>IF(OR(A353="",A353&lt;'月度總覽'!$F$6),0,'月度總覽'!$F$13)</f>
        <v>0.00</v>
      </c>
      <c r="I353" s="40" t="str">
        <f t="shared" si="2"/>
        <v/>
      </c>
      <c r="J353" s="40" t="str">
        <f>IF(OR(A353="",A353&lt;'月度總覽'!$F$6),"",'月度總覽'!$F$12-SUM($H$5:H353)+IF(AND('月度總覽'!$B$10="到帳日自動計入",'月度總覽'!$B$8&gt;'月度總覽'!$B$7,'月度總覽'!$B$8&lt;=A353),'月度總覽'!$B$9,0)+SUMIFS($E$5:E353,$A$5:A353,"&gt;"&amp;'月度總覽'!$B$7)-SUMIFS($G$5:G353,$A$5:A353,"&gt;"&amp;'月度總覽'!$B$7))</f>
        <v/>
      </c>
    </row>
    <row r="354" ht="15.75" customHeight="1">
      <c r="A354" s="39" t="str">
        <f>IF(350&lt;='月度總覽'!$F$5,'月度總覽'!$B$5+350-1,"")</f>
        <v/>
      </c>
      <c r="B354" t="str">
        <f t="shared" si="1"/>
        <v/>
      </c>
      <c r="C354" t="str">
        <f>IF(A354="","",IF(A354&lt;'月度總覽'!$F$6,"已過",IF(A354='月度總覽'!$F$6,"基準日","未來")))</f>
        <v/>
      </c>
      <c r="D354" s="40" t="str">
        <f>IF(A354="","",IF(A354='月度總覽'!$B$8,'月度總覽'!$B$9,0))</f>
        <v/>
      </c>
      <c r="E354" s="40" t="str">
        <f>IF(A354="","",SUMIFS('收支明細'!$E:$E,'收支明細'!$B:$B,"收入",'收支明細'!$A:$A,A354))</f>
        <v/>
      </c>
      <c r="F354" s="40" t="str">
        <f>IF(A354="","",SUMIFS('固定支出'!$C:$C,'固定支出'!$G:$G,"是",'固定支出'!$D:$D,A354))</f>
        <v/>
      </c>
      <c r="G354" s="40" t="str">
        <f>IF(A354="","",SUMIFS('收支明細'!$E:$E,'收支明細'!$B:$B,"支出",'收支明細'!$A:$A,A354))</f>
        <v/>
      </c>
      <c r="H354" s="40" t="str">
        <f>IF(OR(A354="",A354&lt;'月度總覽'!$F$6),0,'月度總覽'!$F$13)</f>
        <v>0.00</v>
      </c>
      <c r="I354" s="40" t="str">
        <f t="shared" si="2"/>
        <v/>
      </c>
      <c r="J354" s="40" t="str">
        <f>IF(OR(A354="",A354&lt;'月度總覽'!$F$6),"",'月度總覽'!$F$12-SUM($H$5:H354)+IF(AND('月度總覽'!$B$10="到帳日自動計入",'月度總覽'!$B$8&gt;'月度總覽'!$B$7,'月度總覽'!$B$8&lt;=A354),'月度總覽'!$B$9,0)+SUMIFS($E$5:E354,$A$5:A354,"&gt;"&amp;'月度總覽'!$B$7)-SUMIFS($G$5:G354,$A$5:A354,"&gt;"&amp;'月度總覽'!$B$7))</f>
        <v/>
      </c>
    </row>
    <row r="355" ht="15.75" customHeight="1">
      <c r="A355" s="39" t="str">
        <f>IF(351&lt;='月度總覽'!$F$5,'月度總覽'!$B$5+351-1,"")</f>
        <v/>
      </c>
      <c r="B355" t="str">
        <f t="shared" si="1"/>
        <v/>
      </c>
      <c r="C355" t="str">
        <f>IF(A355="","",IF(A355&lt;'月度總覽'!$F$6,"已過",IF(A355='月度總覽'!$F$6,"基準日","未來")))</f>
        <v/>
      </c>
      <c r="D355" s="40" t="str">
        <f>IF(A355="","",IF(A355='月度總覽'!$B$8,'月度總覽'!$B$9,0))</f>
        <v/>
      </c>
      <c r="E355" s="40" t="str">
        <f>IF(A355="","",SUMIFS('收支明細'!$E:$E,'收支明細'!$B:$B,"收入",'收支明細'!$A:$A,A355))</f>
        <v/>
      </c>
      <c r="F355" s="40" t="str">
        <f>IF(A355="","",SUMIFS('固定支出'!$C:$C,'固定支出'!$G:$G,"是",'固定支出'!$D:$D,A355))</f>
        <v/>
      </c>
      <c r="G355" s="40" t="str">
        <f>IF(A355="","",SUMIFS('收支明細'!$E:$E,'收支明細'!$B:$B,"支出",'收支明細'!$A:$A,A355))</f>
        <v/>
      </c>
      <c r="H355" s="40" t="str">
        <f>IF(OR(A355="",A355&lt;'月度總覽'!$F$6),0,'月度總覽'!$F$13)</f>
        <v>0.00</v>
      </c>
      <c r="I355" s="40" t="str">
        <f t="shared" si="2"/>
        <v/>
      </c>
      <c r="J355" s="40" t="str">
        <f>IF(OR(A355="",A355&lt;'月度總覽'!$F$6),"",'月度總覽'!$F$12-SUM($H$5:H355)+IF(AND('月度總覽'!$B$10="到帳日自動計入",'月度總覽'!$B$8&gt;'月度總覽'!$B$7,'月度總覽'!$B$8&lt;=A355),'月度總覽'!$B$9,0)+SUMIFS($E$5:E355,$A$5:A355,"&gt;"&amp;'月度總覽'!$B$7)-SUMIFS($G$5:G355,$A$5:A355,"&gt;"&amp;'月度總覽'!$B$7))</f>
        <v/>
      </c>
    </row>
    <row r="356" ht="15.75" customHeight="1">
      <c r="A356" s="39" t="str">
        <f>IF(352&lt;='月度總覽'!$F$5,'月度總覽'!$B$5+352-1,"")</f>
        <v/>
      </c>
      <c r="B356" t="str">
        <f t="shared" si="1"/>
        <v/>
      </c>
      <c r="C356" t="str">
        <f>IF(A356="","",IF(A356&lt;'月度總覽'!$F$6,"已過",IF(A356='月度總覽'!$F$6,"基準日","未來")))</f>
        <v/>
      </c>
      <c r="D356" s="40" t="str">
        <f>IF(A356="","",IF(A356='月度總覽'!$B$8,'月度總覽'!$B$9,0))</f>
        <v/>
      </c>
      <c r="E356" s="40" t="str">
        <f>IF(A356="","",SUMIFS('收支明細'!$E:$E,'收支明細'!$B:$B,"收入",'收支明細'!$A:$A,A356))</f>
        <v/>
      </c>
      <c r="F356" s="40" t="str">
        <f>IF(A356="","",SUMIFS('固定支出'!$C:$C,'固定支出'!$G:$G,"是",'固定支出'!$D:$D,A356))</f>
        <v/>
      </c>
      <c r="G356" s="40" t="str">
        <f>IF(A356="","",SUMIFS('收支明細'!$E:$E,'收支明細'!$B:$B,"支出",'收支明細'!$A:$A,A356))</f>
        <v/>
      </c>
      <c r="H356" s="40" t="str">
        <f>IF(OR(A356="",A356&lt;'月度總覽'!$F$6),0,'月度總覽'!$F$13)</f>
        <v>0.00</v>
      </c>
      <c r="I356" s="40" t="str">
        <f t="shared" si="2"/>
        <v/>
      </c>
      <c r="J356" s="40" t="str">
        <f>IF(OR(A356="",A356&lt;'月度總覽'!$F$6),"",'月度總覽'!$F$12-SUM($H$5:H356)+IF(AND('月度總覽'!$B$10="到帳日自動計入",'月度總覽'!$B$8&gt;'月度總覽'!$B$7,'月度總覽'!$B$8&lt;=A356),'月度總覽'!$B$9,0)+SUMIFS($E$5:E356,$A$5:A356,"&gt;"&amp;'月度總覽'!$B$7)-SUMIFS($G$5:G356,$A$5:A356,"&gt;"&amp;'月度總覽'!$B$7))</f>
        <v/>
      </c>
    </row>
    <row r="357" ht="15.75" customHeight="1">
      <c r="A357" s="39" t="str">
        <f>IF(353&lt;='月度總覽'!$F$5,'月度總覽'!$B$5+353-1,"")</f>
        <v/>
      </c>
      <c r="B357" t="str">
        <f t="shared" si="1"/>
        <v/>
      </c>
      <c r="C357" t="str">
        <f>IF(A357="","",IF(A357&lt;'月度總覽'!$F$6,"已過",IF(A357='月度總覽'!$F$6,"基準日","未來")))</f>
        <v/>
      </c>
      <c r="D357" s="40" t="str">
        <f>IF(A357="","",IF(A357='月度總覽'!$B$8,'月度總覽'!$B$9,0))</f>
        <v/>
      </c>
      <c r="E357" s="40" t="str">
        <f>IF(A357="","",SUMIFS('收支明細'!$E:$E,'收支明細'!$B:$B,"收入",'收支明細'!$A:$A,A357))</f>
        <v/>
      </c>
      <c r="F357" s="40" t="str">
        <f>IF(A357="","",SUMIFS('固定支出'!$C:$C,'固定支出'!$G:$G,"是",'固定支出'!$D:$D,A357))</f>
        <v/>
      </c>
      <c r="G357" s="40" t="str">
        <f>IF(A357="","",SUMIFS('收支明細'!$E:$E,'收支明細'!$B:$B,"支出",'收支明細'!$A:$A,A357))</f>
        <v/>
      </c>
      <c r="H357" s="40" t="str">
        <f>IF(OR(A357="",A357&lt;'月度總覽'!$F$6),0,'月度總覽'!$F$13)</f>
        <v>0.00</v>
      </c>
      <c r="I357" s="40" t="str">
        <f t="shared" si="2"/>
        <v/>
      </c>
      <c r="J357" s="40" t="str">
        <f>IF(OR(A357="",A357&lt;'月度總覽'!$F$6),"",'月度總覽'!$F$12-SUM($H$5:H357)+IF(AND('月度總覽'!$B$10="到帳日自動計入",'月度總覽'!$B$8&gt;'月度總覽'!$B$7,'月度總覽'!$B$8&lt;=A357),'月度總覽'!$B$9,0)+SUMIFS($E$5:E357,$A$5:A357,"&gt;"&amp;'月度總覽'!$B$7)-SUMIFS($G$5:G357,$A$5:A357,"&gt;"&amp;'月度總覽'!$B$7))</f>
        <v/>
      </c>
    </row>
    <row r="358" ht="15.75" customHeight="1">
      <c r="A358" s="39" t="str">
        <f>IF(354&lt;='月度總覽'!$F$5,'月度總覽'!$B$5+354-1,"")</f>
        <v/>
      </c>
      <c r="B358" t="str">
        <f t="shared" si="1"/>
        <v/>
      </c>
      <c r="C358" t="str">
        <f>IF(A358="","",IF(A358&lt;'月度總覽'!$F$6,"已過",IF(A358='月度總覽'!$F$6,"基準日","未來")))</f>
        <v/>
      </c>
      <c r="D358" s="40" t="str">
        <f>IF(A358="","",IF(A358='月度總覽'!$B$8,'月度總覽'!$B$9,0))</f>
        <v/>
      </c>
      <c r="E358" s="40" t="str">
        <f>IF(A358="","",SUMIFS('收支明細'!$E:$E,'收支明細'!$B:$B,"收入",'收支明細'!$A:$A,A358))</f>
        <v/>
      </c>
      <c r="F358" s="40" t="str">
        <f>IF(A358="","",SUMIFS('固定支出'!$C:$C,'固定支出'!$G:$G,"是",'固定支出'!$D:$D,A358))</f>
        <v/>
      </c>
      <c r="G358" s="40" t="str">
        <f>IF(A358="","",SUMIFS('收支明細'!$E:$E,'收支明細'!$B:$B,"支出",'收支明細'!$A:$A,A358))</f>
        <v/>
      </c>
      <c r="H358" s="40" t="str">
        <f>IF(OR(A358="",A358&lt;'月度總覽'!$F$6),0,'月度總覽'!$F$13)</f>
        <v>0.00</v>
      </c>
      <c r="I358" s="40" t="str">
        <f t="shared" si="2"/>
        <v/>
      </c>
      <c r="J358" s="40" t="str">
        <f>IF(OR(A358="",A358&lt;'月度總覽'!$F$6),"",'月度總覽'!$F$12-SUM($H$5:H358)+IF(AND('月度總覽'!$B$10="到帳日自動計入",'月度總覽'!$B$8&gt;'月度總覽'!$B$7,'月度總覽'!$B$8&lt;=A358),'月度總覽'!$B$9,0)+SUMIFS($E$5:E358,$A$5:A358,"&gt;"&amp;'月度總覽'!$B$7)-SUMIFS($G$5:G358,$A$5:A358,"&gt;"&amp;'月度總覽'!$B$7))</f>
        <v/>
      </c>
    </row>
    <row r="359" ht="15.75" customHeight="1">
      <c r="A359" s="39" t="str">
        <f>IF(355&lt;='月度總覽'!$F$5,'月度總覽'!$B$5+355-1,"")</f>
        <v/>
      </c>
      <c r="B359" t="str">
        <f t="shared" si="1"/>
        <v/>
      </c>
      <c r="C359" t="str">
        <f>IF(A359="","",IF(A359&lt;'月度總覽'!$F$6,"已過",IF(A359='月度總覽'!$F$6,"基準日","未來")))</f>
        <v/>
      </c>
      <c r="D359" s="40" t="str">
        <f>IF(A359="","",IF(A359='月度總覽'!$B$8,'月度總覽'!$B$9,0))</f>
        <v/>
      </c>
      <c r="E359" s="40" t="str">
        <f>IF(A359="","",SUMIFS('收支明細'!$E:$E,'收支明細'!$B:$B,"收入",'收支明細'!$A:$A,A359))</f>
        <v/>
      </c>
      <c r="F359" s="40" t="str">
        <f>IF(A359="","",SUMIFS('固定支出'!$C:$C,'固定支出'!$G:$G,"是",'固定支出'!$D:$D,A359))</f>
        <v/>
      </c>
      <c r="G359" s="40" t="str">
        <f>IF(A359="","",SUMIFS('收支明細'!$E:$E,'收支明細'!$B:$B,"支出",'收支明細'!$A:$A,A359))</f>
        <v/>
      </c>
      <c r="H359" s="40" t="str">
        <f>IF(OR(A359="",A359&lt;'月度總覽'!$F$6),0,'月度總覽'!$F$13)</f>
        <v>0.00</v>
      </c>
      <c r="I359" s="40" t="str">
        <f t="shared" si="2"/>
        <v/>
      </c>
      <c r="J359" s="40" t="str">
        <f>IF(OR(A359="",A359&lt;'月度總覽'!$F$6),"",'月度總覽'!$F$12-SUM($H$5:H359)+IF(AND('月度總覽'!$B$10="到帳日自動計入",'月度總覽'!$B$8&gt;'月度總覽'!$B$7,'月度總覽'!$B$8&lt;=A359),'月度總覽'!$B$9,0)+SUMIFS($E$5:E359,$A$5:A359,"&gt;"&amp;'月度總覽'!$B$7)-SUMIFS($G$5:G359,$A$5:A359,"&gt;"&amp;'月度總覽'!$B$7))</f>
        <v/>
      </c>
    </row>
    <row r="360" ht="15.75" customHeight="1">
      <c r="A360" s="39" t="str">
        <f>IF(356&lt;='月度總覽'!$F$5,'月度總覽'!$B$5+356-1,"")</f>
        <v/>
      </c>
      <c r="B360" t="str">
        <f t="shared" si="1"/>
        <v/>
      </c>
      <c r="C360" t="str">
        <f>IF(A360="","",IF(A360&lt;'月度總覽'!$F$6,"已過",IF(A360='月度總覽'!$F$6,"基準日","未來")))</f>
        <v/>
      </c>
      <c r="D360" s="40" t="str">
        <f>IF(A360="","",IF(A360='月度總覽'!$B$8,'月度總覽'!$B$9,0))</f>
        <v/>
      </c>
      <c r="E360" s="40" t="str">
        <f>IF(A360="","",SUMIFS('收支明細'!$E:$E,'收支明細'!$B:$B,"收入",'收支明細'!$A:$A,A360))</f>
        <v/>
      </c>
      <c r="F360" s="40" t="str">
        <f>IF(A360="","",SUMIFS('固定支出'!$C:$C,'固定支出'!$G:$G,"是",'固定支出'!$D:$D,A360))</f>
        <v/>
      </c>
      <c r="G360" s="40" t="str">
        <f>IF(A360="","",SUMIFS('收支明細'!$E:$E,'收支明細'!$B:$B,"支出",'收支明細'!$A:$A,A360))</f>
        <v/>
      </c>
      <c r="H360" s="40" t="str">
        <f>IF(OR(A360="",A360&lt;'月度總覽'!$F$6),0,'月度總覽'!$F$13)</f>
        <v>0.00</v>
      </c>
      <c r="I360" s="40" t="str">
        <f t="shared" si="2"/>
        <v/>
      </c>
      <c r="J360" s="40" t="str">
        <f>IF(OR(A360="",A360&lt;'月度總覽'!$F$6),"",'月度總覽'!$F$12-SUM($H$5:H360)+IF(AND('月度總覽'!$B$10="到帳日自動計入",'月度總覽'!$B$8&gt;'月度總覽'!$B$7,'月度總覽'!$B$8&lt;=A360),'月度總覽'!$B$9,0)+SUMIFS($E$5:E360,$A$5:A360,"&gt;"&amp;'月度總覽'!$B$7)-SUMIFS($G$5:G360,$A$5:A360,"&gt;"&amp;'月度總覽'!$B$7))</f>
        <v/>
      </c>
    </row>
    <row r="361" ht="15.75" customHeight="1">
      <c r="A361" s="39" t="str">
        <f>IF(357&lt;='月度總覽'!$F$5,'月度總覽'!$B$5+357-1,"")</f>
        <v/>
      </c>
      <c r="B361" t="str">
        <f t="shared" si="1"/>
        <v/>
      </c>
      <c r="C361" t="str">
        <f>IF(A361="","",IF(A361&lt;'月度總覽'!$F$6,"已過",IF(A361='月度總覽'!$F$6,"基準日","未來")))</f>
        <v/>
      </c>
      <c r="D361" s="40" t="str">
        <f>IF(A361="","",IF(A361='月度總覽'!$B$8,'月度總覽'!$B$9,0))</f>
        <v/>
      </c>
      <c r="E361" s="40" t="str">
        <f>IF(A361="","",SUMIFS('收支明細'!$E:$E,'收支明細'!$B:$B,"收入",'收支明細'!$A:$A,A361))</f>
        <v/>
      </c>
      <c r="F361" s="40" t="str">
        <f>IF(A361="","",SUMIFS('固定支出'!$C:$C,'固定支出'!$G:$G,"是",'固定支出'!$D:$D,A361))</f>
        <v/>
      </c>
      <c r="G361" s="40" t="str">
        <f>IF(A361="","",SUMIFS('收支明細'!$E:$E,'收支明細'!$B:$B,"支出",'收支明細'!$A:$A,A361))</f>
        <v/>
      </c>
      <c r="H361" s="40" t="str">
        <f>IF(OR(A361="",A361&lt;'月度總覽'!$F$6),0,'月度總覽'!$F$13)</f>
        <v>0.00</v>
      </c>
      <c r="I361" s="40" t="str">
        <f t="shared" si="2"/>
        <v/>
      </c>
      <c r="J361" s="40" t="str">
        <f>IF(OR(A361="",A361&lt;'月度總覽'!$F$6),"",'月度總覽'!$F$12-SUM($H$5:H361)+IF(AND('月度總覽'!$B$10="到帳日自動計入",'月度總覽'!$B$8&gt;'月度總覽'!$B$7,'月度總覽'!$B$8&lt;=A361),'月度總覽'!$B$9,0)+SUMIFS($E$5:E361,$A$5:A361,"&gt;"&amp;'月度總覽'!$B$7)-SUMIFS($G$5:G361,$A$5:A361,"&gt;"&amp;'月度總覽'!$B$7))</f>
        <v/>
      </c>
    </row>
    <row r="362" ht="15.75" customHeight="1">
      <c r="A362" s="39" t="str">
        <f>IF(358&lt;='月度總覽'!$F$5,'月度總覽'!$B$5+358-1,"")</f>
        <v/>
      </c>
      <c r="B362" t="str">
        <f t="shared" si="1"/>
        <v/>
      </c>
      <c r="C362" t="str">
        <f>IF(A362="","",IF(A362&lt;'月度總覽'!$F$6,"已過",IF(A362='月度總覽'!$F$6,"基準日","未來")))</f>
        <v/>
      </c>
      <c r="D362" s="40" t="str">
        <f>IF(A362="","",IF(A362='月度總覽'!$B$8,'月度總覽'!$B$9,0))</f>
        <v/>
      </c>
      <c r="E362" s="40" t="str">
        <f>IF(A362="","",SUMIFS('收支明細'!$E:$E,'收支明細'!$B:$B,"收入",'收支明細'!$A:$A,A362))</f>
        <v/>
      </c>
      <c r="F362" s="40" t="str">
        <f>IF(A362="","",SUMIFS('固定支出'!$C:$C,'固定支出'!$G:$G,"是",'固定支出'!$D:$D,A362))</f>
        <v/>
      </c>
      <c r="G362" s="40" t="str">
        <f>IF(A362="","",SUMIFS('收支明細'!$E:$E,'收支明細'!$B:$B,"支出",'收支明細'!$A:$A,A362))</f>
        <v/>
      </c>
      <c r="H362" s="40" t="str">
        <f>IF(OR(A362="",A362&lt;'月度總覽'!$F$6),0,'月度總覽'!$F$13)</f>
        <v>0.00</v>
      </c>
      <c r="I362" s="40" t="str">
        <f t="shared" si="2"/>
        <v/>
      </c>
      <c r="J362" s="40" t="str">
        <f>IF(OR(A362="",A362&lt;'月度總覽'!$F$6),"",'月度總覽'!$F$12-SUM($H$5:H362)+IF(AND('月度總覽'!$B$10="到帳日自動計入",'月度總覽'!$B$8&gt;'月度總覽'!$B$7,'月度總覽'!$B$8&lt;=A362),'月度總覽'!$B$9,0)+SUMIFS($E$5:E362,$A$5:A362,"&gt;"&amp;'月度總覽'!$B$7)-SUMIFS($G$5:G362,$A$5:A362,"&gt;"&amp;'月度總覽'!$B$7))</f>
        <v/>
      </c>
    </row>
    <row r="363" ht="15.75" customHeight="1">
      <c r="A363" s="39" t="str">
        <f>IF(359&lt;='月度總覽'!$F$5,'月度總覽'!$B$5+359-1,"")</f>
        <v/>
      </c>
      <c r="B363" t="str">
        <f t="shared" si="1"/>
        <v/>
      </c>
      <c r="C363" t="str">
        <f>IF(A363="","",IF(A363&lt;'月度總覽'!$F$6,"已過",IF(A363='月度總覽'!$F$6,"基準日","未來")))</f>
        <v/>
      </c>
      <c r="D363" s="40" t="str">
        <f>IF(A363="","",IF(A363='月度總覽'!$B$8,'月度總覽'!$B$9,0))</f>
        <v/>
      </c>
      <c r="E363" s="40" t="str">
        <f>IF(A363="","",SUMIFS('收支明細'!$E:$E,'收支明細'!$B:$B,"收入",'收支明細'!$A:$A,A363))</f>
        <v/>
      </c>
      <c r="F363" s="40" t="str">
        <f>IF(A363="","",SUMIFS('固定支出'!$C:$C,'固定支出'!$G:$G,"是",'固定支出'!$D:$D,A363))</f>
        <v/>
      </c>
      <c r="G363" s="40" t="str">
        <f>IF(A363="","",SUMIFS('收支明細'!$E:$E,'收支明細'!$B:$B,"支出",'收支明細'!$A:$A,A363))</f>
        <v/>
      </c>
      <c r="H363" s="40" t="str">
        <f>IF(OR(A363="",A363&lt;'月度總覽'!$F$6),0,'月度總覽'!$F$13)</f>
        <v>0.00</v>
      </c>
      <c r="I363" s="40" t="str">
        <f t="shared" si="2"/>
        <v/>
      </c>
      <c r="J363" s="40" t="str">
        <f>IF(OR(A363="",A363&lt;'月度總覽'!$F$6),"",'月度總覽'!$F$12-SUM($H$5:H363)+IF(AND('月度總覽'!$B$10="到帳日自動計入",'月度總覽'!$B$8&gt;'月度總覽'!$B$7,'月度總覽'!$B$8&lt;=A363),'月度總覽'!$B$9,0)+SUMIFS($E$5:E363,$A$5:A363,"&gt;"&amp;'月度總覽'!$B$7)-SUMIFS($G$5:G363,$A$5:A363,"&gt;"&amp;'月度總覽'!$B$7))</f>
        <v/>
      </c>
    </row>
    <row r="364" ht="15.75" customHeight="1">
      <c r="A364" s="39" t="str">
        <f>IF(360&lt;='月度總覽'!$F$5,'月度總覽'!$B$5+360-1,"")</f>
        <v/>
      </c>
      <c r="B364" t="str">
        <f t="shared" si="1"/>
        <v/>
      </c>
      <c r="C364" t="str">
        <f>IF(A364="","",IF(A364&lt;'月度總覽'!$F$6,"已過",IF(A364='月度總覽'!$F$6,"基準日","未來")))</f>
        <v/>
      </c>
      <c r="D364" s="40" t="str">
        <f>IF(A364="","",IF(A364='月度總覽'!$B$8,'月度總覽'!$B$9,0))</f>
        <v/>
      </c>
      <c r="E364" s="40" t="str">
        <f>IF(A364="","",SUMIFS('收支明細'!$E:$E,'收支明細'!$B:$B,"收入",'收支明細'!$A:$A,A364))</f>
        <v/>
      </c>
      <c r="F364" s="40" t="str">
        <f>IF(A364="","",SUMIFS('固定支出'!$C:$C,'固定支出'!$G:$G,"是",'固定支出'!$D:$D,A364))</f>
        <v/>
      </c>
      <c r="G364" s="40" t="str">
        <f>IF(A364="","",SUMIFS('收支明細'!$E:$E,'收支明細'!$B:$B,"支出",'收支明細'!$A:$A,A364))</f>
        <v/>
      </c>
      <c r="H364" s="40" t="str">
        <f>IF(OR(A364="",A364&lt;'月度總覽'!$F$6),0,'月度總覽'!$F$13)</f>
        <v>0.00</v>
      </c>
      <c r="I364" s="40" t="str">
        <f t="shared" si="2"/>
        <v/>
      </c>
      <c r="J364" s="40" t="str">
        <f>IF(OR(A364="",A364&lt;'月度總覽'!$F$6),"",'月度總覽'!$F$12-SUM($H$5:H364)+IF(AND('月度總覽'!$B$10="到帳日自動計入",'月度總覽'!$B$8&gt;'月度總覽'!$B$7,'月度總覽'!$B$8&lt;=A364),'月度總覽'!$B$9,0)+SUMIFS($E$5:E364,$A$5:A364,"&gt;"&amp;'月度總覽'!$B$7)-SUMIFS($G$5:G364,$A$5:A364,"&gt;"&amp;'月度總覽'!$B$7))</f>
        <v/>
      </c>
    </row>
    <row r="365" ht="15.75" customHeight="1">
      <c r="A365" s="39" t="str">
        <f>IF(361&lt;='月度總覽'!$F$5,'月度總覽'!$B$5+361-1,"")</f>
        <v/>
      </c>
      <c r="B365" t="str">
        <f t="shared" si="1"/>
        <v/>
      </c>
      <c r="C365" t="str">
        <f>IF(A365="","",IF(A365&lt;'月度總覽'!$F$6,"已過",IF(A365='月度總覽'!$F$6,"基準日","未來")))</f>
        <v/>
      </c>
      <c r="D365" s="40" t="str">
        <f>IF(A365="","",IF(A365='月度總覽'!$B$8,'月度總覽'!$B$9,0))</f>
        <v/>
      </c>
      <c r="E365" s="40" t="str">
        <f>IF(A365="","",SUMIFS('收支明細'!$E:$E,'收支明細'!$B:$B,"收入",'收支明細'!$A:$A,A365))</f>
        <v/>
      </c>
      <c r="F365" s="40" t="str">
        <f>IF(A365="","",SUMIFS('固定支出'!$C:$C,'固定支出'!$G:$G,"是",'固定支出'!$D:$D,A365))</f>
        <v/>
      </c>
      <c r="G365" s="40" t="str">
        <f>IF(A365="","",SUMIFS('收支明細'!$E:$E,'收支明細'!$B:$B,"支出",'收支明細'!$A:$A,A365))</f>
        <v/>
      </c>
      <c r="H365" s="40" t="str">
        <f>IF(OR(A365="",A365&lt;'月度總覽'!$F$6),0,'月度總覽'!$F$13)</f>
        <v>0.00</v>
      </c>
      <c r="I365" s="40" t="str">
        <f t="shared" si="2"/>
        <v/>
      </c>
      <c r="J365" s="40" t="str">
        <f>IF(OR(A365="",A365&lt;'月度總覽'!$F$6),"",'月度總覽'!$F$12-SUM($H$5:H365)+IF(AND('月度總覽'!$B$10="到帳日自動計入",'月度總覽'!$B$8&gt;'月度總覽'!$B$7,'月度總覽'!$B$8&lt;=A365),'月度總覽'!$B$9,0)+SUMIFS($E$5:E365,$A$5:A365,"&gt;"&amp;'月度總覽'!$B$7)-SUMIFS($G$5:G365,$A$5:A365,"&gt;"&amp;'月度總覽'!$B$7))</f>
        <v/>
      </c>
    </row>
    <row r="366" ht="15.75" customHeight="1">
      <c r="A366" s="39" t="str">
        <f>IF(362&lt;='月度總覽'!$F$5,'月度總覽'!$B$5+362-1,"")</f>
        <v/>
      </c>
      <c r="B366" t="str">
        <f t="shared" si="1"/>
        <v/>
      </c>
      <c r="C366" t="str">
        <f>IF(A366="","",IF(A366&lt;'月度總覽'!$F$6,"已過",IF(A366='月度總覽'!$F$6,"基準日","未來")))</f>
        <v/>
      </c>
      <c r="D366" s="40" t="str">
        <f>IF(A366="","",IF(A366='月度總覽'!$B$8,'月度總覽'!$B$9,0))</f>
        <v/>
      </c>
      <c r="E366" s="40" t="str">
        <f>IF(A366="","",SUMIFS('收支明細'!$E:$E,'收支明細'!$B:$B,"收入",'收支明細'!$A:$A,A366))</f>
        <v/>
      </c>
      <c r="F366" s="40" t="str">
        <f>IF(A366="","",SUMIFS('固定支出'!$C:$C,'固定支出'!$G:$G,"是",'固定支出'!$D:$D,A366))</f>
        <v/>
      </c>
      <c r="G366" s="40" t="str">
        <f>IF(A366="","",SUMIFS('收支明細'!$E:$E,'收支明細'!$B:$B,"支出",'收支明細'!$A:$A,A366))</f>
        <v/>
      </c>
      <c r="H366" s="40" t="str">
        <f>IF(OR(A366="",A366&lt;'月度總覽'!$F$6),0,'月度總覽'!$F$13)</f>
        <v>0.00</v>
      </c>
      <c r="I366" s="40" t="str">
        <f t="shared" si="2"/>
        <v/>
      </c>
      <c r="J366" s="40" t="str">
        <f>IF(OR(A366="",A366&lt;'月度總覽'!$F$6),"",'月度總覽'!$F$12-SUM($H$5:H366)+IF(AND('月度總覽'!$B$10="到帳日自動計入",'月度總覽'!$B$8&gt;'月度總覽'!$B$7,'月度總覽'!$B$8&lt;=A366),'月度總覽'!$B$9,0)+SUMIFS($E$5:E366,$A$5:A366,"&gt;"&amp;'月度總覽'!$B$7)-SUMIFS($G$5:G366,$A$5:A366,"&gt;"&amp;'月度總覽'!$B$7))</f>
        <v/>
      </c>
    </row>
    <row r="367" ht="15.75" customHeight="1">
      <c r="A367" s="39" t="str">
        <f>IF(363&lt;='月度總覽'!$F$5,'月度總覽'!$B$5+363-1,"")</f>
        <v/>
      </c>
      <c r="B367" t="str">
        <f t="shared" si="1"/>
        <v/>
      </c>
      <c r="C367" t="str">
        <f>IF(A367="","",IF(A367&lt;'月度總覽'!$F$6,"已過",IF(A367='月度總覽'!$F$6,"基準日","未來")))</f>
        <v/>
      </c>
      <c r="D367" s="40" t="str">
        <f>IF(A367="","",IF(A367='月度總覽'!$B$8,'月度總覽'!$B$9,0))</f>
        <v/>
      </c>
      <c r="E367" s="40" t="str">
        <f>IF(A367="","",SUMIFS('收支明細'!$E:$E,'收支明細'!$B:$B,"收入",'收支明細'!$A:$A,A367))</f>
        <v/>
      </c>
      <c r="F367" s="40" t="str">
        <f>IF(A367="","",SUMIFS('固定支出'!$C:$C,'固定支出'!$G:$G,"是",'固定支出'!$D:$D,A367))</f>
        <v/>
      </c>
      <c r="G367" s="40" t="str">
        <f>IF(A367="","",SUMIFS('收支明細'!$E:$E,'收支明細'!$B:$B,"支出",'收支明細'!$A:$A,A367))</f>
        <v/>
      </c>
      <c r="H367" s="40" t="str">
        <f>IF(OR(A367="",A367&lt;'月度總覽'!$F$6),0,'月度總覽'!$F$13)</f>
        <v>0.00</v>
      </c>
      <c r="I367" s="40" t="str">
        <f t="shared" si="2"/>
        <v/>
      </c>
      <c r="J367" s="40" t="str">
        <f>IF(OR(A367="",A367&lt;'月度總覽'!$F$6),"",'月度總覽'!$F$12-SUM($H$5:H367)+IF(AND('月度總覽'!$B$10="到帳日自動計入",'月度總覽'!$B$8&gt;'月度總覽'!$B$7,'月度總覽'!$B$8&lt;=A367),'月度總覽'!$B$9,0)+SUMIFS($E$5:E367,$A$5:A367,"&gt;"&amp;'月度總覽'!$B$7)-SUMIFS($G$5:G367,$A$5:A367,"&gt;"&amp;'月度總覽'!$B$7))</f>
        <v/>
      </c>
    </row>
    <row r="368" ht="15.75" customHeight="1">
      <c r="A368" s="39" t="str">
        <f>IF(364&lt;='月度總覽'!$F$5,'月度總覽'!$B$5+364-1,"")</f>
        <v/>
      </c>
      <c r="B368" t="str">
        <f t="shared" si="1"/>
        <v/>
      </c>
      <c r="C368" t="str">
        <f>IF(A368="","",IF(A368&lt;'月度總覽'!$F$6,"已過",IF(A368='月度總覽'!$F$6,"基準日","未來")))</f>
        <v/>
      </c>
      <c r="D368" s="40" t="str">
        <f>IF(A368="","",IF(A368='月度總覽'!$B$8,'月度總覽'!$B$9,0))</f>
        <v/>
      </c>
      <c r="E368" s="40" t="str">
        <f>IF(A368="","",SUMIFS('收支明細'!$E:$E,'收支明細'!$B:$B,"收入",'收支明細'!$A:$A,A368))</f>
        <v/>
      </c>
      <c r="F368" s="40" t="str">
        <f>IF(A368="","",SUMIFS('固定支出'!$C:$C,'固定支出'!$G:$G,"是",'固定支出'!$D:$D,A368))</f>
        <v/>
      </c>
      <c r="G368" s="40" t="str">
        <f>IF(A368="","",SUMIFS('收支明細'!$E:$E,'收支明細'!$B:$B,"支出",'收支明細'!$A:$A,A368))</f>
        <v/>
      </c>
      <c r="H368" s="40" t="str">
        <f>IF(OR(A368="",A368&lt;'月度總覽'!$F$6),0,'月度總覽'!$F$13)</f>
        <v>0.00</v>
      </c>
      <c r="I368" s="40" t="str">
        <f t="shared" si="2"/>
        <v/>
      </c>
      <c r="J368" s="40" t="str">
        <f>IF(OR(A368="",A368&lt;'月度總覽'!$F$6),"",'月度總覽'!$F$12-SUM($H$5:H368)+IF(AND('月度總覽'!$B$10="到帳日自動計入",'月度總覽'!$B$8&gt;'月度總覽'!$B$7,'月度總覽'!$B$8&lt;=A368),'月度總覽'!$B$9,0)+SUMIFS($E$5:E368,$A$5:A368,"&gt;"&amp;'月度總覽'!$B$7)-SUMIFS($G$5:G368,$A$5:A368,"&gt;"&amp;'月度總覽'!$B$7))</f>
        <v/>
      </c>
    </row>
    <row r="369" ht="15.75" customHeight="1">
      <c r="A369" s="39" t="str">
        <f>IF(365&lt;='月度總覽'!$F$5,'月度總覽'!$B$5+365-1,"")</f>
        <v/>
      </c>
      <c r="B369" t="str">
        <f t="shared" si="1"/>
        <v/>
      </c>
      <c r="C369" t="str">
        <f>IF(A369="","",IF(A369&lt;'月度總覽'!$F$6,"已過",IF(A369='月度總覽'!$F$6,"基準日","未來")))</f>
        <v/>
      </c>
      <c r="D369" s="40" t="str">
        <f>IF(A369="","",IF(A369='月度總覽'!$B$8,'月度總覽'!$B$9,0))</f>
        <v/>
      </c>
      <c r="E369" s="40" t="str">
        <f>IF(A369="","",SUMIFS('收支明細'!$E:$E,'收支明細'!$B:$B,"收入",'收支明細'!$A:$A,A369))</f>
        <v/>
      </c>
      <c r="F369" s="40" t="str">
        <f>IF(A369="","",SUMIFS('固定支出'!$C:$C,'固定支出'!$G:$G,"是",'固定支出'!$D:$D,A369))</f>
        <v/>
      </c>
      <c r="G369" s="40" t="str">
        <f>IF(A369="","",SUMIFS('收支明細'!$E:$E,'收支明細'!$B:$B,"支出",'收支明細'!$A:$A,A369))</f>
        <v/>
      </c>
      <c r="H369" s="40" t="str">
        <f>IF(OR(A369="",A369&lt;'月度總覽'!$F$6),0,'月度總覽'!$F$13)</f>
        <v>0.00</v>
      </c>
      <c r="I369" s="40" t="str">
        <f t="shared" si="2"/>
        <v/>
      </c>
      <c r="J369" s="40" t="str">
        <f>IF(OR(A369="",A369&lt;'月度總覽'!$F$6),"",'月度總覽'!$F$12-SUM($H$5:H369)+IF(AND('月度總覽'!$B$10="到帳日自動計入",'月度總覽'!$B$8&gt;'月度總覽'!$B$7,'月度總覽'!$B$8&lt;=A369),'月度總覽'!$B$9,0)+SUMIFS($E$5:E369,$A$5:A369,"&gt;"&amp;'月度總覽'!$B$7)-SUMIFS($G$5:G369,$A$5:A369,"&gt;"&amp;'月度總覽'!$B$7))</f>
        <v/>
      </c>
    </row>
    <row r="370" ht="15.75" customHeight="1">
      <c r="A370" s="39" t="str">
        <f>IF(366&lt;='月度總覽'!$F$5,'月度總覽'!$B$5+366-1,"")</f>
        <v/>
      </c>
      <c r="B370" t="str">
        <f t="shared" si="1"/>
        <v/>
      </c>
      <c r="C370" t="str">
        <f>IF(A370="","",IF(A370&lt;'月度總覽'!$F$6,"已過",IF(A370='月度總覽'!$F$6,"基準日","未來")))</f>
        <v/>
      </c>
      <c r="D370" s="40" t="str">
        <f>IF(A370="","",IF(A370='月度總覽'!$B$8,'月度總覽'!$B$9,0))</f>
        <v/>
      </c>
      <c r="E370" s="40" t="str">
        <f>IF(A370="","",SUMIFS('收支明細'!$E:$E,'收支明細'!$B:$B,"收入",'收支明細'!$A:$A,A370))</f>
        <v/>
      </c>
      <c r="F370" s="40" t="str">
        <f>IF(A370="","",SUMIFS('固定支出'!$C:$C,'固定支出'!$G:$G,"是",'固定支出'!$D:$D,A370))</f>
        <v/>
      </c>
      <c r="G370" s="40" t="str">
        <f>IF(A370="","",SUMIFS('收支明細'!$E:$E,'收支明細'!$B:$B,"支出",'收支明細'!$A:$A,A370))</f>
        <v/>
      </c>
      <c r="H370" s="40" t="str">
        <f>IF(OR(A370="",A370&lt;'月度總覽'!$F$6),0,'月度總覽'!$F$13)</f>
        <v>0.00</v>
      </c>
      <c r="I370" s="40" t="str">
        <f t="shared" si="2"/>
        <v/>
      </c>
      <c r="J370" s="40" t="str">
        <f>IF(OR(A370="",A370&lt;'月度總覽'!$F$6),"",'月度總覽'!$F$12-SUM($H$5:H370)+IF(AND('月度總覽'!$B$10="到帳日自動計入",'月度總覽'!$B$8&gt;'月度總覽'!$B$7,'月度總覽'!$B$8&lt;=A370),'月度總覽'!$B$9,0)+SUMIFS($E$5:E370,$A$5:A370,"&gt;"&amp;'月度總覽'!$B$7)-SUMIFS($G$5:G370,$A$5:A370,"&gt;"&amp;'月度總覽'!$B$7))</f>
        <v/>
      </c>
    </row>
  </sheetData>
  <autoFilter ref="$A$4:$J$370"/>
  <mergeCells count="2">
    <mergeCell ref="A1:J1"/>
    <mergeCell ref="A2:J2"/>
  </mergeCells>
  <conditionalFormatting sqref="J5:J37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:J370">
    <cfRule type="expression" dxfId="6" priority="2">
      <formula>$C5="基準日"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19.25"/>
    <col customWidth="1" min="6" max="6" width="7.63"/>
    <col customWidth="1" min="7" max="7" width="56.88"/>
    <col customWidth="1" min="8" max="11" width="7.63"/>
  </cols>
  <sheetData>
    <row r="1">
      <c r="A1" s="41" t="s">
        <v>57</v>
      </c>
      <c r="B1" s="41" t="s">
        <v>39</v>
      </c>
      <c r="C1" s="41" t="s">
        <v>58</v>
      </c>
      <c r="D1" s="41" t="s">
        <v>59</v>
      </c>
      <c r="E1" s="41" t="s">
        <v>19</v>
      </c>
      <c r="G1" s="41" t="s">
        <v>60</v>
      </c>
    </row>
    <row r="2">
      <c r="A2" t="s">
        <v>61</v>
      </c>
      <c r="B2" t="s">
        <v>62</v>
      </c>
      <c r="C2" t="s">
        <v>63</v>
      </c>
      <c r="D2" t="s">
        <v>64</v>
      </c>
      <c r="E2" t="s">
        <v>20</v>
      </c>
      <c r="G2" t="s">
        <v>65</v>
      </c>
    </row>
    <row r="3">
      <c r="A3" t="s">
        <v>66</v>
      </c>
      <c r="B3" t="s">
        <v>67</v>
      </c>
      <c r="C3" t="s">
        <v>68</v>
      </c>
      <c r="D3" t="s">
        <v>69</v>
      </c>
      <c r="E3" t="s">
        <v>70</v>
      </c>
      <c r="G3" t="s">
        <v>71</v>
      </c>
    </row>
    <row r="4">
      <c r="A4" t="s">
        <v>72</v>
      </c>
      <c r="B4" t="s">
        <v>73</v>
      </c>
      <c r="E4" t="s">
        <v>74</v>
      </c>
    </row>
    <row r="5">
      <c r="A5" t="s">
        <v>75</v>
      </c>
      <c r="B5" t="s">
        <v>76</v>
      </c>
    </row>
    <row r="6">
      <c r="A6" t="s">
        <v>77</v>
      </c>
      <c r="B6" t="s">
        <v>78</v>
      </c>
    </row>
    <row r="7">
      <c r="A7" t="s">
        <v>79</v>
      </c>
      <c r="B7" t="s">
        <v>80</v>
      </c>
    </row>
    <row r="8">
      <c r="A8" t="s">
        <v>81</v>
      </c>
      <c r="B8" t="s">
        <v>82</v>
      </c>
    </row>
    <row r="9">
      <c r="A9" t="s">
        <v>83</v>
      </c>
      <c r="B9" t="s">
        <v>84</v>
      </c>
    </row>
    <row r="10">
      <c r="A10" t="s">
        <v>85</v>
      </c>
    </row>
    <row r="11">
      <c r="A11" t="s">
        <v>86</v>
      </c>
    </row>
    <row r="12">
      <c r="A12" t="s">
        <v>87</v>
      </c>
    </row>
    <row r="13">
      <c r="A13" t="s">
        <v>88</v>
      </c>
    </row>
    <row r="14">
      <c r="A14" t="s">
        <v>51</v>
      </c>
    </row>
    <row r="15">
      <c r="A15" t="s">
        <v>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1.0"/>
    <col customWidth="1" min="2" max="6" width="17.5"/>
    <col customWidth="1" min="7" max="11" width="7.63"/>
  </cols>
  <sheetData>
    <row r="1">
      <c r="A1" s="42" t="s">
        <v>90</v>
      </c>
      <c r="B1" s="2"/>
      <c r="C1" s="2"/>
      <c r="D1" s="2"/>
      <c r="E1" s="2"/>
      <c r="F1" s="3"/>
    </row>
    <row r="3" ht="48.0" customHeight="1">
      <c r="A3" s="43" t="s">
        <v>91</v>
      </c>
      <c r="B3" s="44" t="s">
        <v>92</v>
      </c>
      <c r="C3" s="45"/>
      <c r="D3" s="45"/>
      <c r="E3" s="45"/>
      <c r="F3" s="46"/>
    </row>
    <row r="4" ht="48.0" customHeight="1">
      <c r="A4" s="43" t="s">
        <v>93</v>
      </c>
      <c r="B4" s="44" t="s">
        <v>94</v>
      </c>
      <c r="C4" s="45"/>
      <c r="D4" s="45"/>
      <c r="E4" s="45"/>
      <c r="F4" s="46"/>
    </row>
    <row r="5" ht="48.0" customHeight="1">
      <c r="A5" s="43" t="s">
        <v>95</v>
      </c>
      <c r="B5" s="44" t="s">
        <v>96</v>
      </c>
      <c r="C5" s="45"/>
      <c r="D5" s="45"/>
      <c r="E5" s="45"/>
      <c r="F5" s="46"/>
    </row>
    <row r="6" ht="48.0" customHeight="1">
      <c r="A6" s="43" t="s">
        <v>97</v>
      </c>
      <c r="B6" s="44" t="s">
        <v>98</v>
      </c>
      <c r="C6" s="45"/>
      <c r="D6" s="45"/>
      <c r="E6" s="45"/>
      <c r="F6" s="46"/>
    </row>
    <row r="7" ht="48.0" customHeight="1">
      <c r="A7" s="43" t="s">
        <v>99</v>
      </c>
      <c r="B7" s="44" t="s">
        <v>100</v>
      </c>
      <c r="C7" s="45"/>
      <c r="D7" s="45"/>
      <c r="E7" s="45"/>
      <c r="F7" s="46"/>
    </row>
    <row r="8" ht="48.0" customHeight="1">
      <c r="A8" s="43" t="s">
        <v>101</v>
      </c>
      <c r="B8" s="44" t="s">
        <v>102</v>
      </c>
      <c r="C8" s="45"/>
      <c r="D8" s="45"/>
      <c r="E8" s="45"/>
      <c r="F8" s="46"/>
    </row>
    <row r="9" ht="48.0" customHeight="1">
      <c r="A9" s="43" t="s">
        <v>103</v>
      </c>
      <c r="B9" s="44" t="s">
        <v>104</v>
      </c>
      <c r="C9" s="45"/>
      <c r="D9" s="45"/>
      <c r="E9" s="45"/>
      <c r="F9" s="46"/>
    </row>
    <row r="12" ht="42.0" customHeight="1">
      <c r="A12" s="6" t="s">
        <v>105</v>
      </c>
      <c r="B12" s="47" t="s">
        <v>106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B8:F8"/>
    <mergeCell ref="B9:F9"/>
    <mergeCell ref="B4:F4"/>
    <mergeCell ref="B12:F12"/>
    <mergeCell ref="B7:F7"/>
    <mergeCell ref="B6:F6"/>
    <mergeCell ref="A1:F1"/>
    <mergeCell ref="B3:F3"/>
    <mergeCell ref="B5:F5"/>
  </mergeCells>
  <printOptions/>
  <pageMargins bottom="1.0" footer="0.0" header="0.0" left="0.75" right="0.75" top="1.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2026-07-28T10:47:33Z</dcterms:created>
  <dc:creator>openpyxl</dc:creator>
  <dcterms:modified xsi:type="dcterms:W3CDTF">2026-07-28T10:47:33Z</dcterms:modified>
</cp:coreProperties>
</file>